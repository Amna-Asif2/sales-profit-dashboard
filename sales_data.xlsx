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mputer\Downloads\archive (2)\"/>
    </mc:Choice>
  </mc:AlternateContent>
  <xr:revisionPtr revIDLastSave="0" documentId="13_ncr:1_{9A52C170-2B39-4635-A24A-F22AAA7F9E17}" xr6:coauthVersionLast="47" xr6:coauthVersionMax="47" xr10:uidLastSave="{00000000-0000-0000-0000-000000000000}"/>
  <bookViews>
    <workbookView xWindow="-120" yWindow="-120" windowWidth="20730" windowHeight="11160" activeTab="2" xr2:uid="{29590B3A-CD83-47C3-8362-BBBD22197558}"/>
  </bookViews>
  <sheets>
    <sheet name="data" sheetId="1" r:id="rId1"/>
    <sheet name="pivot table" sheetId="2" r:id="rId2"/>
    <sheet name="dashboard" sheetId="3" r:id="rId3"/>
  </sheets>
  <definedNames>
    <definedName name="_xlchart.v2.0" hidden="1">'pivot table'!$L$5:$L$7</definedName>
    <definedName name="_xlchart.v2.1" hidden="1">'pivot table'!$M$4</definedName>
    <definedName name="_xlchart.v2.2" hidden="1">'pivot table'!$M$5:$M$7</definedName>
    <definedName name="_xlnm.Print_Area" localSheetId="2">dashboard!$A$1:$R$35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" i="2" l="1"/>
  <c r="R7" i="2"/>
  <c r="R8" i="2"/>
  <c r="R5" i="2"/>
  <c r="L6" i="2"/>
  <c r="L7" i="2"/>
  <c r="L5" i="2"/>
  <c r="M7" i="2"/>
  <c r="S7" i="2"/>
  <c r="A12" i="2"/>
  <c r="A11" i="2"/>
  <c r="S5" i="2"/>
  <c r="S6" i="2"/>
  <c r="M6" i="2"/>
  <c r="S8" i="2"/>
  <c r="M5" i="2"/>
</calcChain>
</file>

<file path=xl/sharedStrings.xml><?xml version="1.0" encoding="utf-8"?>
<sst xmlns="http://schemas.openxmlformats.org/spreadsheetml/2006/main" count="10568" uniqueCount="52">
  <si>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</si>
  <si>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</si>
  <si>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</si>
  <si>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</si>
  <si>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</si>
  <si>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</si>
  <si>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</si>
  <si>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</si>
  <si>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</si>
  <si>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</si>
  <si>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</si>
  <si>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</si>
  <si>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</si>
  <si>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</si>
  <si>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</si>
  <si>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</si>
  <si>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</si>
  <si>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</si>
  <si>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</si>
  <si>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</si>
  <si>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</si>
  <si>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</si>
  <si>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</si>
  <si>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</si>
  <si>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Sum of Sales</t>
  </si>
  <si>
    <t>Sum of Profit</t>
  </si>
  <si>
    <t>Profit by year</t>
  </si>
  <si>
    <t>Total Sales</t>
  </si>
  <si>
    <t>Total Profit</t>
  </si>
  <si>
    <t>Row Labels</t>
  </si>
  <si>
    <t>Grand Total</t>
  </si>
  <si>
    <t>2022</t>
  </si>
  <si>
    <t>2023</t>
  </si>
  <si>
    <t>2024</t>
  </si>
  <si>
    <t>Sales by Category</t>
  </si>
  <si>
    <t>Top 5 Product Profit</t>
  </si>
  <si>
    <t>Sales 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</si>
  <si>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</si>
  <si>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</si>
  <si>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</si>
  <si>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</si>
  <si>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</si>
  <si>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</si>
  <si>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</si>
  <si>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</si>
  <si>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</si>
  <si>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</si>
  <si>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</si>
  <si>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</si>
  <si>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Region</t>
  </si>
  <si>
    <t>Column Labels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</si>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</sst>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[$$-409]* #,##0_);_([$$-409]* \(#,##0\);_([$$-409]* &quot;-&quot;??_);_(@_)"/>
    <numFmt numFmtId="166" formatCode="_(&quot;$&quot;* #,##0.0_);_(&quot;$&quot;* \(#,##0.0\);_(&quot;$&quot;* &quot;-&quot;??_);_(@_)"/>
    <numFmt numFmtId="167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18" fillId="0" borderId="0" xfId="0" applyFont="1"/>
    <xf numFmtId="0" fontId="0" fillId="0" borderId="0" xfId="0" applyAlignment="1">
      <alignment horizontal="left"/>
    </xf>
    <xf numFmtId="165" fontId="0" fillId="0" borderId="0" xfId="0" applyNumberFormat="1"/>
    <xf numFmtId="167" fontId="0" fillId="0" borderId="0" xfId="0" applyNumberFormat="1"/>
    <xf numFmtId="166" fontId="0" fillId="0" borderId="0" xfId="1" applyNumberFormat="1" applyFont="1"/>
    <xf numFmtId="167" fontId="0" fillId="0" borderId="0" xfId="1" applyNumberFormat="1" applyFont="1"/>
    <xf numFmtId="0" fontId="18" fillId="33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7">
    <dxf>
      <numFmt numFmtId="164" formatCode="_([$$-409]* #,##0.00_);_([$$-409]* \(#,##0.0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4" formatCode="_([$$-409]* #,##0.00_);_([$$-409]* \(#,##0.0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4" formatCode="_([$$-409]* #,##0.00_);_([$$-409]* \(#,##0.0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4" formatCode="_([$$-409]* #,##0.00_);_([$$-409]* \(#,##0.0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4" formatCode="_([$$-409]* #,##0.00_);_([$$-409]* \(#,##0.0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9" formatCode="m/d/yyyy"/>
    </dxf>
  </dxfs>
  <tableStyles count="0" defaultTableStyle="TableStyleMedium2" defaultPivotStyle="PivotStyleLight16"/>
  <colors>
    <mruColors>
      <color rgb="FF999999"/>
      <color rgb="FF084F6A"/>
      <color rgb="FF0C769E"/>
      <color rgb="FFCCCCCC"/>
      <color rgb="FF828282"/>
      <color rgb="FF12A5E0"/>
      <color rgb="FF29B6EF"/>
      <color rgb="FF0F9ED5"/>
      <color rgb="FF0B668B"/>
      <color rgb="FF0876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Profile by Year</a:t>
            </a:r>
          </a:p>
        </c:rich>
      </c:tx>
      <c:layout>
        <c:manualLayout>
          <c:xMode val="edge"/>
          <c:yMode val="edge"/>
          <c:x val="0.34864575216932286"/>
          <c:y val="6.305417545246335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876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84F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150401952988917E-2"/>
          <c:y val="0.1645083437554769"/>
          <c:w val="0.92569919609402218"/>
          <c:h val="0.544979720883493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table'!$D$4:$D$5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rgbClr val="0876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table'!$C$6:$C$9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'pivot table'!$D$6:$D$9</c:f>
              <c:numCache>
                <c:formatCode>_("$"* #,##0_);_("$"* \(#,##0\);_("$"* "-"??_);_(@_)</c:formatCode>
                <c:ptCount val="3"/>
                <c:pt idx="0">
                  <c:v>238187.58</c:v>
                </c:pt>
                <c:pt idx="1">
                  <c:v>261626.94000000015</c:v>
                </c:pt>
                <c:pt idx="2">
                  <c:v>236270.21999999988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7-4A47-BF21-78B10657A6EB}"/>
            </c:ext>
          </c:extLst>
        </c:ser>
        <c:ser>
          <c:idx val="1"/>
          <c:order val="1"/>
          <c:tx>
            <c:strRef>
              <c:f>'pivot table'!$E$4:$E$5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084F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table'!$C$6:$C$9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'pivot table'!$E$6:$E$9</c:f>
              <c:numCache>
                <c:formatCode>_("$"* #,##0_);_("$"* \(#,##0\);_("$"* "-"??_);_(@_)</c:formatCode>
                <c:ptCount val="3"/>
                <c:pt idx="0">
                  <c:v>286236.29999999987</c:v>
                </c:pt>
                <c:pt idx="1">
                  <c:v>331270.15000000002</c:v>
                </c:pt>
                <c:pt idx="2">
                  <c:v>305679.14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7-4A47-BF21-78B10657A6EB}"/>
            </c:ext>
          </c:extLst>
        </c:ser>
        <c:ser>
          <c:idx val="2"/>
          <c:order val="2"/>
          <c:tx>
            <c:strRef>
              <c:f>'pivot table'!$F$4:$F$5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table'!$C$6:$C$9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'pivot table'!$F$6:$F$9</c:f>
              <c:numCache>
                <c:formatCode>_("$"* #,##0_);_("$"* \(#,##0\);_("$"* "-"??_);_(@_)</c:formatCode>
                <c:ptCount val="3"/>
                <c:pt idx="0">
                  <c:v>48433.100000000006</c:v>
                </c:pt>
                <c:pt idx="1">
                  <c:v>73969.33</c:v>
                </c:pt>
                <c:pt idx="2">
                  <c:v>62992.450000000012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A7-4A47-BF21-78B10657A6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67964880"/>
        <c:axId val="467968720"/>
      </c:barChart>
      <c:catAx>
        <c:axId val="4679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68720"/>
        <c:crosses val="autoZero"/>
        <c:auto val="1"/>
        <c:lblAlgn val="ctr"/>
        <c:lblOffset val="100"/>
        <c:noMultiLvlLbl val="0"/>
      </c:catAx>
      <c:valAx>
        <c:axId val="46796872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46796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 table!PivotTable6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Product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2A5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table'!$V$4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2A5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table'!$U$5:$U$10</c:f>
              <c:strCache>
                <c:ptCount val="5"/>
                <c:pt idx="0">
                  <c:v>Camera</c:v>
                </c:pt>
                <c:pt idx="1">
                  <c:v>Monitor</c:v>
                </c:pt>
                <c:pt idx="2">
                  <c:v>Mouse</c:v>
                </c:pt>
                <c:pt idx="3">
                  <c:v>Laptop</c:v>
                </c:pt>
                <c:pt idx="4">
                  <c:v>Printer</c:v>
                </c:pt>
              </c:strCache>
            </c:strRef>
          </c:cat>
          <c:val>
            <c:numRef>
              <c:f>'pivot table'!$V$5:$V$10</c:f>
              <c:numCache>
                <c:formatCode>_([$$-409]* #,##0_);_([$$-409]* \(#,##0\);_([$$-409]* "-"??_);_(@_)</c:formatCode>
                <c:ptCount val="5"/>
                <c:pt idx="0">
                  <c:v>207630.9899999999</c:v>
                </c:pt>
                <c:pt idx="1">
                  <c:v>202028.16999999993</c:v>
                </c:pt>
                <c:pt idx="2">
                  <c:v>185763.68999999992</c:v>
                </c:pt>
                <c:pt idx="3">
                  <c:v>185756.81000000014</c:v>
                </c:pt>
                <c:pt idx="4">
                  <c:v>185394.88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B-447D-BF23-9E5ED5B4F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587456"/>
        <c:axId val="17588416"/>
      </c:barChart>
      <c:catAx>
        <c:axId val="1758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416"/>
        <c:crosses val="autoZero"/>
        <c:auto val="1"/>
        <c:lblAlgn val="ctr"/>
        <c:lblOffset val="100"/>
        <c:noMultiLvlLbl val="0"/>
      </c:catAx>
      <c:valAx>
        <c:axId val="17588416"/>
        <c:scaling>
          <c:orientation val="minMax"/>
        </c:scaling>
        <c:delete val="1"/>
        <c:axPos val="b"/>
        <c:numFmt formatCode="_([$$-409]* #,##0_);_([$$-409]* \(#,##0\);_([$$-409]* &quot;-&quot;??_);_(@_)" sourceLinked="1"/>
        <c:majorTickMark val="none"/>
        <c:minorTickMark val="none"/>
        <c:tickLblPos val="nextTo"/>
        <c:crossAx val="1758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B668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4444899149848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-1.8448419813488649E-17"/>
              <c:y val="-0.246122822944688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-3.6896839626977298E-17"/>
              <c:y val="-0.311345199876621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76573547986400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39423427631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-6.0377344138500873E-3"/>
              <c:y val="-0.291528876349837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0942643603974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785406241274206"/>
                  <c:h val="5.305981028388957E-2"/>
                </c:manualLayout>
              </c15:layout>
            </c:ext>
          </c:extLst>
        </c:dLbl>
      </c:pivotFmt>
      <c:pivotFmt>
        <c:idx val="10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93045251259176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-7.3793679253954597E-17"/>
              <c:y val="-0.295377433587761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97362755139491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91208258329127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B668B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6761107626867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table'!$Y$4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B668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C8-4D17-993A-2B24AE0791AE}"/>
              </c:ext>
            </c:extLst>
          </c:dPt>
          <c:dPt>
            <c:idx val="1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5C8-4D17-993A-2B24AE0791AE}"/>
              </c:ext>
            </c:extLst>
          </c:dPt>
          <c:dPt>
            <c:idx val="2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C8-4D17-993A-2B24AE0791AE}"/>
              </c:ext>
            </c:extLst>
          </c:dPt>
          <c:dPt>
            <c:idx val="3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5C8-4D17-993A-2B24AE0791AE}"/>
              </c:ext>
            </c:extLst>
          </c:dPt>
          <c:dPt>
            <c:idx val="4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C8-4D17-993A-2B24AE0791AE}"/>
              </c:ext>
            </c:extLst>
          </c:dPt>
          <c:dPt>
            <c:idx val="5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5C8-4D17-993A-2B24AE0791AE}"/>
              </c:ext>
            </c:extLst>
          </c:dPt>
          <c:dPt>
            <c:idx val="6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5C8-4D17-993A-2B24AE0791AE}"/>
              </c:ext>
            </c:extLst>
          </c:dPt>
          <c:dPt>
            <c:idx val="7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5C8-4D17-993A-2B24AE0791AE}"/>
              </c:ext>
            </c:extLst>
          </c:dPt>
          <c:dPt>
            <c:idx val="8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5C8-4D17-993A-2B24AE0791AE}"/>
              </c:ext>
            </c:extLst>
          </c:dPt>
          <c:dPt>
            <c:idx val="9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5C8-4D17-993A-2B24AE0791AE}"/>
              </c:ext>
            </c:extLst>
          </c:dPt>
          <c:dPt>
            <c:idx val="10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C8-4D17-993A-2B24AE0791AE}"/>
              </c:ext>
            </c:extLst>
          </c:dPt>
          <c:dPt>
            <c:idx val="11"/>
            <c:invertIfNegative val="0"/>
            <c:bubble3D val="0"/>
            <c:spPr>
              <a:solidFill>
                <a:srgbClr val="0B66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5C8-4D17-993A-2B24AE0791AE}"/>
              </c:ext>
            </c:extLst>
          </c:dPt>
          <c:dLbls>
            <c:dLbl>
              <c:idx val="0"/>
              <c:layout>
                <c:manualLayout>
                  <c:x val="0"/>
                  <c:y val="-0.3244448991498488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C8-4D17-993A-2B24AE0791AE}"/>
                </c:ext>
              </c:extLst>
            </c:dLbl>
            <c:dLbl>
              <c:idx val="1"/>
              <c:layout>
                <c:manualLayout>
                  <c:x val="-1.8448419813488649E-17"/>
                  <c:y val="-0.246122822944688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C8-4D17-993A-2B24AE0791AE}"/>
                </c:ext>
              </c:extLst>
            </c:dLbl>
            <c:dLbl>
              <c:idx val="2"/>
              <c:layout>
                <c:manualLayout>
                  <c:x val="-3.6896839626977298E-17"/>
                  <c:y val="-0.3113451998766210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C8-4D17-993A-2B24AE0791AE}"/>
                </c:ext>
              </c:extLst>
            </c:dLbl>
            <c:dLbl>
              <c:idx val="3"/>
              <c:layout>
                <c:manualLayout>
                  <c:x val="0"/>
                  <c:y val="-0.276573547986400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C8-4D17-993A-2B24AE0791AE}"/>
                </c:ext>
              </c:extLst>
            </c:dLbl>
            <c:dLbl>
              <c:idx val="4"/>
              <c:layout>
                <c:manualLayout>
                  <c:x val="0"/>
                  <c:y val="-0.3394234276310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C8-4D17-993A-2B24AE0791AE}"/>
                </c:ext>
              </c:extLst>
            </c:dLbl>
            <c:dLbl>
              <c:idx val="5"/>
              <c:layout>
                <c:manualLayout>
                  <c:x val="-6.0377344138500873E-3"/>
                  <c:y val="-0.291528876349837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C8-4D17-993A-2B24AE0791AE}"/>
                </c:ext>
              </c:extLst>
            </c:dLbl>
            <c:dLbl>
              <c:idx val="6"/>
              <c:layout>
                <c:manualLayout>
                  <c:x val="0"/>
                  <c:y val="-0.2930452512591769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C8-4D17-993A-2B24AE0791AE}"/>
                </c:ext>
              </c:extLst>
            </c:dLbl>
            <c:dLbl>
              <c:idx val="7"/>
              <c:layout>
                <c:manualLayout>
                  <c:x val="0"/>
                  <c:y val="-0.309426436039747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85406241274206"/>
                      <c:h val="5.3059810283889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5C8-4D17-993A-2B24AE0791AE}"/>
                </c:ext>
              </c:extLst>
            </c:dLbl>
            <c:dLbl>
              <c:idx val="8"/>
              <c:layout>
                <c:manualLayout>
                  <c:x val="-7.3793679253954597E-17"/>
                  <c:y val="-0.295377433587761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C8-4D17-993A-2B24AE0791AE}"/>
                </c:ext>
              </c:extLst>
            </c:dLbl>
            <c:dLbl>
              <c:idx val="9"/>
              <c:layout>
                <c:manualLayout>
                  <c:x val="0"/>
                  <c:y val="-0.297362755139491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5C8-4D17-993A-2B24AE0791AE}"/>
                </c:ext>
              </c:extLst>
            </c:dLbl>
            <c:dLbl>
              <c:idx val="10"/>
              <c:layout>
                <c:manualLayout>
                  <c:x val="0"/>
                  <c:y val="-0.2912082583291275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C8-4D17-993A-2B24AE0791AE}"/>
                </c:ext>
              </c:extLst>
            </c:dLbl>
            <c:dLbl>
              <c:idx val="11"/>
              <c:layout>
                <c:manualLayout>
                  <c:x val="0"/>
                  <c:y val="-0.326761107626867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5C8-4D17-993A-2B24AE0791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table'!$X$5:$X$17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table'!$Y$5:$Y$17</c:f>
              <c:numCache>
                <c:formatCode>_([$$-409]* #,##0_);_([$$-409]* \(#,##0\);_([$$-409]* "-"??_);_(@_)</c:formatCode>
                <c:ptCount val="12"/>
                <c:pt idx="0">
                  <c:v>967614</c:v>
                </c:pt>
                <c:pt idx="1">
                  <c:v>702414</c:v>
                </c:pt>
                <c:pt idx="2">
                  <c:v>939614</c:v>
                </c:pt>
                <c:pt idx="3">
                  <c:v>821876</c:v>
                </c:pt>
                <c:pt idx="4">
                  <c:v>1034687</c:v>
                </c:pt>
                <c:pt idx="5">
                  <c:v>839805</c:v>
                </c:pt>
                <c:pt idx="6">
                  <c:v>844940</c:v>
                </c:pt>
                <c:pt idx="7">
                  <c:v>924939</c:v>
                </c:pt>
                <c:pt idx="8">
                  <c:v>885546</c:v>
                </c:pt>
                <c:pt idx="9">
                  <c:v>892269</c:v>
                </c:pt>
                <c:pt idx="10">
                  <c:v>855075</c:v>
                </c:pt>
                <c:pt idx="11">
                  <c:v>959102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8-4D17-993A-2B24AE0791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3790944"/>
        <c:axId val="23791904"/>
      </c:barChart>
      <c:catAx>
        <c:axId val="2379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1904"/>
        <c:crosses val="autoZero"/>
        <c:auto val="1"/>
        <c:lblAlgn val="ctr"/>
        <c:lblOffset val="100"/>
        <c:noMultiLvlLbl val="0"/>
      </c:catAx>
      <c:valAx>
        <c:axId val="23791904"/>
        <c:scaling>
          <c:orientation val="minMax"/>
        </c:scaling>
        <c:delete val="1"/>
        <c:axPos val="l"/>
        <c:numFmt formatCode="_([$$-409]* #,##0_);_([$$-409]* \(#,##0\);_([$$-409]* &quot;-&quot;??_);_(@_)" sourceLinked="1"/>
        <c:majorTickMark val="none"/>
        <c:minorTickMark val="none"/>
        <c:tickLblPos val="nextTo"/>
        <c:crossAx val="2379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Sales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Sales by Category</a:t>
          </a:r>
        </a:p>
      </cx:txPr>
    </cx:title>
    <cx:plotArea>
      <cx:plotAreaRegion>
        <cx:series layoutId="funnel" uniqueId="{93C7A21F-E65F-4EF6-828E-FD749118E288}">
          <cx:tx>
            <cx:txData>
              <cx:f>_xlchart.v2.1</cx:f>
              <cx:v>Sales</cx:v>
            </cx:txData>
          </cx:tx>
          <cx:spPr>
            <a:solidFill>
              <a:srgbClr val="0F9ED5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/>
                    </a:solidFill>
                  </a:defRPr>
                </a:pPr>
                <a:endParaRPr lang="en-US" sz="9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5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chart" Target="../charts/chart3.xml"/><Relationship Id="rId4" Type="http://schemas.openxmlformats.org/officeDocument/2006/relationships/image" Target="../media/image4.sv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115095</xdr:colOff>
      <xdr:row>0</xdr:row>
      <xdr:rowOff>101203</xdr:rowOff>
    </xdr:from>
    <xdr:to>
      <xdr:col>17</xdr:col>
      <xdr:colOff>420686</xdr:colOff>
      <xdr:row>34</xdr:row>
      <xdr:rowOff>111125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B84BF0C-E89D-7B9A-CF03-C873A2018A6F}"/>
            </a:ext>
          </a:extLst>
        </xdr:cNvPr>
        <xdr:cNvSpPr/>
      </xdr:nvSpPr>
      <xdr:spPr>
        <a:xfrm>
          <a:off x="115095" y="101203"/>
          <a:ext cx="10560841" cy="6486922"/>
        </a:xfrm>
        <a:prstGeom prst="roundRect">
          <a:avLst>
            <a:gd name="adj" fmla="val 1675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214312</xdr:colOff>
      <xdr:row>0</xdr:row>
      <xdr:rowOff>160735</xdr:rowOff>
    </xdr:from>
    <xdr:to>
      <xdr:col>17</xdr:col>
      <xdr:colOff>331389</xdr:colOff>
      <xdr:row>5</xdr:row>
      <xdr:rowOff>140891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075959B-0507-4255-B8AA-7241395E9408}"/>
            </a:ext>
          </a:extLst>
        </xdr:cNvPr>
        <xdr:cNvSpPr/>
      </xdr:nvSpPr>
      <xdr:spPr>
        <a:xfrm>
          <a:off x="214312" y="160735"/>
          <a:ext cx="10372327" cy="932656"/>
        </a:xfrm>
        <a:prstGeom prst="roundRect">
          <a:avLst/>
        </a:prstGeom>
        <a:gradFill>
          <a:gsLst>
            <a:gs pos="59000">
              <a:srgbClr val="0A6183"/>
            </a:gs>
            <a:gs pos="85000">
              <a:srgbClr val="0C739C"/>
            </a:gs>
            <a:gs pos="0">
              <a:srgbClr val="084F6A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184546</xdr:colOff>
      <xdr:row>11</xdr:row>
      <xdr:rowOff>111122</xdr:rowOff>
    </xdr:from>
    <xdr:to>
      <xdr:col>6</xdr:col>
      <xdr:colOff>470297</xdr:colOff>
      <xdr:row>22</xdr:row>
      <xdr:rowOff>140889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C9BD68F-868F-499C-816B-732672D07CB5}"/>
            </a:ext>
          </a:extLst>
        </xdr:cNvPr>
        <xdr:cNvSpPr/>
      </xdr:nvSpPr>
      <xdr:spPr>
        <a:xfrm>
          <a:off x="184546" y="2206622"/>
          <a:ext cx="3905251" cy="2125267"/>
        </a:xfrm>
        <a:prstGeom prst="roundRect">
          <a:avLst>
            <a:gd name="adj" fmla="val 4667"/>
          </a:avLst>
        </a:prstGeom>
        <a:gradFill>
          <a:gsLst>
            <a:gs pos="100000">
              <a:srgbClr val="49C1F1"/>
            </a:gs>
            <a:gs pos="36000">
              <a:srgbClr val="CCECFF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194468</xdr:colOff>
      <xdr:row>22</xdr:row>
      <xdr:rowOff>170656</xdr:rowOff>
    </xdr:from>
    <xdr:to>
      <xdr:col>6</xdr:col>
      <xdr:colOff>460375</xdr:colOff>
      <xdr:row>34</xdr:row>
      <xdr:rowOff>19846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6EC054F-9899-4D78-BA2C-E286E457B9C5}"/>
            </a:ext>
          </a:extLst>
        </xdr:cNvPr>
        <xdr:cNvSpPr/>
      </xdr:nvSpPr>
      <xdr:spPr>
        <a:xfrm>
          <a:off x="194468" y="4361656"/>
          <a:ext cx="3885407" cy="2135190"/>
        </a:xfrm>
        <a:prstGeom prst="roundRect">
          <a:avLst>
            <a:gd name="adj" fmla="val 4667"/>
          </a:avLst>
        </a:prstGeom>
        <a:gradFill>
          <a:gsLst>
            <a:gs pos="100000">
              <a:srgbClr val="49C1F1"/>
            </a:gs>
            <a:gs pos="36000">
              <a:srgbClr val="CCECFF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529827</xdr:colOff>
      <xdr:row>19</xdr:row>
      <xdr:rowOff>140891</xdr:rowOff>
    </xdr:from>
    <xdr:to>
      <xdr:col>17</xdr:col>
      <xdr:colOff>321467</xdr:colOff>
      <xdr:row>34</xdr:row>
      <xdr:rowOff>41672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CC85BBB-2E1E-4F1A-8EA9-F49ECA3C7DAD}"/>
            </a:ext>
          </a:extLst>
        </xdr:cNvPr>
        <xdr:cNvSpPr/>
      </xdr:nvSpPr>
      <xdr:spPr>
        <a:xfrm>
          <a:off x="4149327" y="3760391"/>
          <a:ext cx="6427390" cy="2758281"/>
        </a:xfrm>
        <a:prstGeom prst="roundRect">
          <a:avLst>
            <a:gd name="adj" fmla="val 4667"/>
          </a:avLst>
        </a:prstGeom>
        <a:gradFill>
          <a:gsLst>
            <a:gs pos="100000">
              <a:srgbClr val="49C1F1"/>
            </a:gs>
            <a:gs pos="36000">
              <a:srgbClr val="CCECF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549673</xdr:colOff>
      <xdr:row>6</xdr:row>
      <xdr:rowOff>41670</xdr:rowOff>
    </xdr:from>
    <xdr:to>
      <xdr:col>17</xdr:col>
      <xdr:colOff>321468</xdr:colOff>
      <xdr:row>19</xdr:row>
      <xdr:rowOff>111125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AEBEA60-6674-4942-BA20-867C80BD10F0}"/>
            </a:ext>
          </a:extLst>
        </xdr:cNvPr>
        <xdr:cNvSpPr/>
      </xdr:nvSpPr>
      <xdr:spPr>
        <a:xfrm>
          <a:off x="4169173" y="1184670"/>
          <a:ext cx="6407545" cy="2545955"/>
        </a:xfrm>
        <a:prstGeom prst="roundRect">
          <a:avLst>
            <a:gd name="adj" fmla="val 4667"/>
          </a:avLst>
        </a:prstGeom>
        <a:gradFill>
          <a:gsLst>
            <a:gs pos="100000">
              <a:srgbClr val="49C1F1"/>
            </a:gs>
            <a:gs pos="36000">
              <a:srgbClr val="CCECFF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204392</xdr:colOff>
      <xdr:row>6</xdr:row>
      <xdr:rowOff>19844</xdr:rowOff>
    </xdr:from>
    <xdr:to>
      <xdr:col>3</xdr:col>
      <xdr:colOff>283766</xdr:colOff>
      <xdr:row>11</xdr:row>
      <xdr:rowOff>61516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EB92FCAF-6F24-4496-9FCA-AD36EBEAB7BA}"/>
            </a:ext>
          </a:extLst>
        </xdr:cNvPr>
        <xdr:cNvSpPr/>
      </xdr:nvSpPr>
      <xdr:spPr>
        <a:xfrm>
          <a:off x="204392" y="1162844"/>
          <a:ext cx="1889124" cy="994172"/>
        </a:xfrm>
        <a:prstGeom prst="roundRect">
          <a:avLst>
            <a:gd name="adj" fmla="val 4667"/>
          </a:avLst>
        </a:prstGeom>
        <a:gradFill>
          <a:gsLst>
            <a:gs pos="100000">
              <a:srgbClr val="49C1F1"/>
            </a:gs>
            <a:gs pos="36000">
              <a:srgbClr val="CCECFF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361157</xdr:colOff>
      <xdr:row>6</xdr:row>
      <xdr:rowOff>29765</xdr:rowOff>
    </xdr:from>
    <xdr:to>
      <xdr:col>6</xdr:col>
      <xdr:colOff>470297</xdr:colOff>
      <xdr:row>11</xdr:row>
      <xdr:rowOff>61516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66C2831-EFA2-4DDA-880E-565B05C33B16}"/>
            </a:ext>
          </a:extLst>
        </xdr:cNvPr>
        <xdr:cNvSpPr/>
      </xdr:nvSpPr>
      <xdr:spPr>
        <a:xfrm>
          <a:off x="2170907" y="1172765"/>
          <a:ext cx="1918890" cy="984251"/>
        </a:xfrm>
        <a:prstGeom prst="roundRect">
          <a:avLst>
            <a:gd name="adj" fmla="val 4667"/>
          </a:avLst>
        </a:prstGeom>
        <a:gradFill>
          <a:gsLst>
            <a:gs pos="100000">
              <a:srgbClr val="49C1F1"/>
            </a:gs>
            <a:gs pos="36000">
              <a:srgbClr val="CCECFF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440530</xdr:colOff>
      <xdr:row>1</xdr:row>
      <xdr:rowOff>140890</xdr:rowOff>
    </xdr:from>
    <xdr:to>
      <xdr:col>12</xdr:col>
      <xdr:colOff>144859</xdr:colOff>
      <xdr:row>4</xdr:row>
      <xdr:rowOff>101202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7AE6DA4-E880-12AE-BAB5-00C75414F65F}"/>
            </a:ext>
          </a:extLst>
        </xdr:cNvPr>
        <xdr:cNvSpPr txBox="1"/>
      </xdr:nvSpPr>
      <xdr:spPr>
        <a:xfrm>
          <a:off x="1043780" y="331390"/>
          <a:ext cx="6340079" cy="531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bg1"/>
              </a:solidFill>
            </a:rPr>
            <a:t>SALES &amp; PROFIT DASHBOARD</a:t>
          </a:r>
        </a:p>
      </xdr:txBody>
    </xdr:sp>
    <xdr:clientData/>
  </xdr:twoCellAnchor>
  <xdr:twoCellAnchor editAs="oneCell">
    <xdr:from>
      <xdr:col>0</xdr:col>
      <xdr:colOff>244078</xdr:colOff>
      <xdr:row>1</xdr:row>
      <xdr:rowOff>19844</xdr:rowOff>
    </xdr:from>
    <xdr:to>
      <xdr:col>1</xdr:col>
      <xdr:colOff>460375</xdr:colOff>
      <xdr:row>5</xdr:row>
      <xdr:rowOff>91282</xdr:rowOff>
    </xdr:to>
    <xdr:pic>
      <xdr:nvPicPr>
        <xdr:cNvPr id="22" name="Graphic 21" descr="Bar graph with upward trend with solid fill">
          <a:extLst>
            <a:ext uri="{FF2B5EF4-FFF2-40B4-BE49-F238E27FC236}">
              <a16:creationId xmlns:a16="http://schemas.microsoft.com/office/drawing/2014/main" id="{CDA5E448-AE94-2D9D-766E-2DEC15125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078" y="210344"/>
          <a:ext cx="819547" cy="833438"/>
        </a:xfrm>
        <a:prstGeom prst="rect">
          <a:avLst/>
        </a:prstGeom>
      </xdr:spPr>
    </xdr:pic>
    <xdr:clientData/>
  </xdr:twoCellAnchor>
  <xdr:twoCellAnchor editAs="oneCell">
    <xdr:from>
      <xdr:col>0</xdr:col>
      <xdr:colOff>194469</xdr:colOff>
      <xdr:row>6</xdr:row>
      <xdr:rowOff>81358</xdr:rowOff>
    </xdr:from>
    <xdr:to>
      <xdr:col>1</xdr:col>
      <xdr:colOff>381001</xdr:colOff>
      <xdr:row>10</xdr:row>
      <xdr:rowOff>121047</xdr:rowOff>
    </xdr:to>
    <xdr:pic>
      <xdr:nvPicPr>
        <xdr:cNvPr id="24" name="Graphic 23" descr="Upward trend with solid fill">
          <a:extLst>
            <a:ext uri="{FF2B5EF4-FFF2-40B4-BE49-F238E27FC236}">
              <a16:creationId xmlns:a16="http://schemas.microsoft.com/office/drawing/2014/main" id="{9D2D286F-84EF-295C-E417-7C34D68CD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4469" y="1224358"/>
          <a:ext cx="789782" cy="801689"/>
        </a:xfrm>
        <a:prstGeom prst="rect">
          <a:avLst/>
        </a:prstGeom>
      </xdr:spPr>
    </xdr:pic>
    <xdr:clientData/>
  </xdr:twoCellAnchor>
  <xdr:twoCellAnchor>
    <xdr:from>
      <xdr:col>1</xdr:col>
      <xdr:colOff>283765</xdr:colOff>
      <xdr:row>6</xdr:row>
      <xdr:rowOff>140890</xdr:rowOff>
    </xdr:from>
    <xdr:to>
      <xdr:col>3</xdr:col>
      <xdr:colOff>234156</xdr:colOff>
      <xdr:row>8</xdr:row>
      <xdr:rowOff>101203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228048B-A87E-1449-C02A-F87CB758386B}"/>
            </a:ext>
          </a:extLst>
        </xdr:cNvPr>
        <xdr:cNvSpPr txBox="1"/>
      </xdr:nvSpPr>
      <xdr:spPr>
        <a:xfrm>
          <a:off x="887015" y="1283890"/>
          <a:ext cx="1156891" cy="341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TOTAL SALES</a:t>
          </a:r>
        </a:p>
      </xdr:txBody>
    </xdr:sp>
    <xdr:clientData/>
  </xdr:twoCellAnchor>
  <xdr:twoCellAnchor>
    <xdr:from>
      <xdr:col>4</xdr:col>
      <xdr:colOff>450452</xdr:colOff>
      <xdr:row>6</xdr:row>
      <xdr:rowOff>150812</xdr:rowOff>
    </xdr:from>
    <xdr:to>
      <xdr:col>6</xdr:col>
      <xdr:colOff>500061</xdr:colOff>
      <xdr:row>8</xdr:row>
      <xdr:rowOff>111125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4AC3D50-A5D2-4230-BA5B-AB479E55B3E4}"/>
            </a:ext>
          </a:extLst>
        </xdr:cNvPr>
        <xdr:cNvSpPr txBox="1"/>
      </xdr:nvSpPr>
      <xdr:spPr>
        <a:xfrm>
          <a:off x="2863452" y="1293812"/>
          <a:ext cx="1256109" cy="341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TOTAL PROFIT</a:t>
          </a:r>
        </a:p>
      </xdr:txBody>
    </xdr:sp>
    <xdr:clientData/>
  </xdr:twoCellAnchor>
  <xdr:twoCellAnchor editAs="oneCell">
    <xdr:from>
      <xdr:col>3</xdr:col>
      <xdr:colOff>371078</xdr:colOff>
      <xdr:row>6</xdr:row>
      <xdr:rowOff>91280</xdr:rowOff>
    </xdr:from>
    <xdr:to>
      <xdr:col>4</xdr:col>
      <xdr:colOff>579437</xdr:colOff>
      <xdr:row>10</xdr:row>
      <xdr:rowOff>150812</xdr:rowOff>
    </xdr:to>
    <xdr:pic>
      <xdr:nvPicPr>
        <xdr:cNvPr id="28" name="Graphic 27" descr="Coins with solid fill">
          <a:extLst>
            <a:ext uri="{FF2B5EF4-FFF2-40B4-BE49-F238E27FC236}">
              <a16:creationId xmlns:a16="http://schemas.microsoft.com/office/drawing/2014/main" id="{4C47B04E-1B0F-0353-EA28-977364DE2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180828" y="1234280"/>
          <a:ext cx="811609" cy="821532"/>
        </a:xfrm>
        <a:prstGeom prst="rect">
          <a:avLst/>
        </a:prstGeom>
      </xdr:spPr>
    </xdr:pic>
    <xdr:clientData/>
  </xdr:twoCellAnchor>
  <xdr:twoCellAnchor>
    <xdr:from>
      <xdr:col>1</xdr:col>
      <xdr:colOff>214314</xdr:colOff>
      <xdr:row>8</xdr:row>
      <xdr:rowOff>101203</xdr:rowOff>
    </xdr:from>
    <xdr:to>
      <xdr:col>3</xdr:col>
      <xdr:colOff>273843</xdr:colOff>
      <xdr:row>10</xdr:row>
      <xdr:rowOff>61516</xdr:rowOff>
    </xdr:to>
    <xdr:sp macro="" textlink="'pivot table'!A11">
      <xdr:nvSpPr>
        <xdr:cNvPr id="29" name="TextBox 28">
          <a:extLst>
            <a:ext uri="{FF2B5EF4-FFF2-40B4-BE49-F238E27FC236}">
              <a16:creationId xmlns:a16="http://schemas.microsoft.com/office/drawing/2014/main" id="{A52B0F53-CBF8-412F-B70C-5C639356108D}"/>
            </a:ext>
          </a:extLst>
        </xdr:cNvPr>
        <xdr:cNvSpPr txBox="1"/>
      </xdr:nvSpPr>
      <xdr:spPr>
        <a:xfrm>
          <a:off x="817564" y="1625203"/>
          <a:ext cx="1266029" cy="341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FC0B820-F102-4BD7-846C-7AC2F83ACE20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$10,667,881 </a:t>
          </a:fld>
          <a:endParaRPr lang="en-US" sz="2000" b="1"/>
        </a:p>
      </xdr:txBody>
    </xdr:sp>
    <xdr:clientData/>
  </xdr:twoCellAnchor>
  <xdr:twoCellAnchor>
    <xdr:from>
      <xdr:col>4</xdr:col>
      <xdr:colOff>463949</xdr:colOff>
      <xdr:row>8</xdr:row>
      <xdr:rowOff>94853</xdr:rowOff>
    </xdr:from>
    <xdr:to>
      <xdr:col>6</xdr:col>
      <xdr:colOff>523479</xdr:colOff>
      <xdr:row>10</xdr:row>
      <xdr:rowOff>55166</xdr:rowOff>
    </xdr:to>
    <xdr:sp macro="" textlink="'pivot table'!A12">
      <xdr:nvSpPr>
        <xdr:cNvPr id="30" name="TextBox 29">
          <a:extLst>
            <a:ext uri="{FF2B5EF4-FFF2-40B4-BE49-F238E27FC236}">
              <a16:creationId xmlns:a16="http://schemas.microsoft.com/office/drawing/2014/main" id="{E299FC91-88C1-48DD-BE16-F396BD73ED5A}"/>
            </a:ext>
          </a:extLst>
        </xdr:cNvPr>
        <xdr:cNvSpPr txBox="1"/>
      </xdr:nvSpPr>
      <xdr:spPr>
        <a:xfrm>
          <a:off x="2876949" y="1618853"/>
          <a:ext cx="1266030" cy="341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F619EDA-53BB-4218-BE30-2D09AC63D85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$1,844,665 </a:t>
          </a:fld>
          <a:endParaRPr lang="en-US" sz="1600" b="1"/>
        </a:p>
      </xdr:txBody>
    </xdr:sp>
    <xdr:clientData/>
  </xdr:twoCellAnchor>
  <xdr:twoCellAnchor>
    <xdr:from>
      <xdr:col>0</xdr:col>
      <xdr:colOff>244079</xdr:colOff>
      <xdr:row>11</xdr:row>
      <xdr:rowOff>170656</xdr:rowOff>
    </xdr:from>
    <xdr:to>
      <xdr:col>6</xdr:col>
      <xdr:colOff>371079</xdr:colOff>
      <xdr:row>22</xdr:row>
      <xdr:rowOff>111125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EF86B09-4865-49C6-B142-2DD63A030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253999</xdr:colOff>
      <xdr:row>23</xdr:row>
      <xdr:rowOff>91282</xdr:rowOff>
    </xdr:from>
    <xdr:to>
      <xdr:col>6</xdr:col>
      <xdr:colOff>331391</xdr:colOff>
      <xdr:row>33</xdr:row>
      <xdr:rowOff>130969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BC60BBC4-37EA-4C23-9A38-9008510850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999" y="4472782"/>
              <a:ext cx="3696892" cy="1944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5954</xdr:colOff>
      <xdr:row>6</xdr:row>
      <xdr:rowOff>170656</xdr:rowOff>
    </xdr:from>
    <xdr:to>
      <xdr:col>17</xdr:col>
      <xdr:colOff>163348</xdr:colOff>
      <xdr:row>19</xdr:row>
      <xdr:rowOff>79546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25194D-1075-4FDB-9479-E9DD0B3E2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529827</xdr:colOff>
      <xdr:row>20</xdr:row>
      <xdr:rowOff>19843</xdr:rowOff>
    </xdr:from>
    <xdr:to>
      <xdr:col>17</xdr:col>
      <xdr:colOff>184547</xdr:colOff>
      <xdr:row>34</xdr:row>
      <xdr:rowOff>9921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0E7BF8-6BB2-442E-9905-11D282814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ter" refreshedDate="46083.028978009257" createdVersion="8" refreshedVersion="8" minRefreshableVersion="3" recordCount="3500" xr:uid="{D074365C-F3F7-4720-AD67-8B84437A5101}">
  <cacheSource type="worksheet">
    <worksheetSource name="Table1"/>
  </cacheSource>
  <cacheFields count="10">
    <cacheField name="Order Date" numFmtId="14">
      <sharedItems containsSemiMixedTypes="0" containsNonDate="0" containsDate="1" containsString="0" minDate="2022-01-01T00:00:00" maxDate="2025-01-01T00:00:00" count="1051">
        <d v="2024-12-31T00:00:00"/>
        <d v="2022-11-27T00:00:00"/>
        <d v="2022-05-11T00:00:00"/>
        <d v="2024-03-16T00:00:00"/>
        <d v="2022-09-10T00:00:00"/>
        <d v="2023-12-01T00:00:00"/>
        <d v="2023-10-09T00:00:00"/>
        <d v="2022-01-14T00:00:00"/>
        <d v="2022-04-02T00:00:00"/>
        <d v="2024-10-22T00:00:00"/>
        <d v="2023-12-04T00:00:00"/>
        <d v="2022-09-27T00:00:00"/>
        <d v="2023-12-21T00:00:00"/>
        <d v="2024-02-03T00:00:00"/>
        <d v="2023-10-10T00:00:00"/>
        <d v="2022-10-16T00:00:00"/>
        <d v="2022-05-15T00:00:00"/>
        <d v="2023-02-11T00:00:00"/>
        <d v="2023-12-27T00:00:00"/>
        <d v="2023-10-05T00:00:00"/>
        <d v="2024-03-05T00:00:00"/>
        <d v="2023-07-18T00:00:00"/>
        <d v="2023-06-25T00:00:00"/>
        <d v="2023-11-13T00:00:00"/>
        <d v="2022-07-09T00:00:00"/>
        <d v="2023-12-11T00:00:00"/>
        <d v="2023-03-18T00:00:00"/>
        <d v="2024-08-09T00:00:00"/>
        <d v="2024-05-04T00:00:00"/>
        <d v="2022-09-04T00:00:00"/>
        <d v="2022-10-21T00:00:00"/>
        <d v="2024-01-22T00:00:00"/>
        <d v="2023-04-09T00:00:00"/>
        <d v="2023-02-07T00:00:00"/>
        <d v="2023-05-04T00:00:00"/>
        <d v="2023-04-18T00:00:00"/>
        <d v="2022-12-12T00:00:00"/>
        <d v="2022-09-11T00:00:00"/>
        <d v="2024-03-26T00:00:00"/>
        <d v="2023-09-20T00:00:00"/>
        <d v="2023-05-25T00:00:00"/>
        <d v="2022-12-04T00:00:00"/>
        <d v="2022-06-10T00:00:00"/>
        <d v="2023-02-05T00:00:00"/>
        <d v="2024-01-20T00:00:00"/>
        <d v="2022-01-27T00:00:00"/>
        <d v="2023-03-29T00:00:00"/>
        <d v="2022-01-17T00:00:00"/>
        <d v="2024-11-26T00:00:00"/>
        <d v="2024-09-19T00:00:00"/>
        <d v="2023-07-20T00:00:00"/>
        <d v="2024-05-03T00:00:00"/>
        <d v="2022-09-03T00:00:00"/>
        <d v="2024-07-09T00:00:00"/>
        <d v="2022-11-17T00:00:00"/>
        <d v="2023-12-28T00:00:00"/>
        <d v="2022-05-30T00:00:00"/>
        <d v="2024-04-17T00:00:00"/>
        <d v="2024-09-30T00:00:00"/>
        <d v="2024-06-02T00:00:00"/>
        <d v="2022-09-26T00:00:00"/>
        <d v="2024-12-17T00:00:00"/>
        <d v="2024-10-09T00:00:00"/>
        <d v="2023-07-14T00:00:00"/>
        <d v="2023-12-05T00:00:00"/>
        <d v="2022-06-03T00:00:00"/>
        <d v="2024-12-28T00:00:00"/>
        <d v="2022-08-06T00:00:00"/>
        <d v="2023-06-06T00:00:00"/>
        <d v="2024-02-01T00:00:00"/>
        <d v="2023-05-31T00:00:00"/>
        <d v="2024-06-14T00:00:00"/>
        <d v="2024-08-14T00:00:00"/>
        <d v="2023-02-01T00:00:00"/>
        <d v="2024-04-28T00:00:00"/>
        <d v="2024-04-05T00:00:00"/>
        <d v="2024-01-31T00:00:00"/>
        <d v="2024-01-09T00:00:00"/>
        <d v="2022-04-06T00:00:00"/>
        <d v="2024-05-22T00:00:00"/>
        <d v="2023-12-30T00:00:00"/>
        <d v="2022-03-17T00:00:00"/>
        <d v="2022-05-24T00:00:00"/>
        <d v="2024-06-09T00:00:00"/>
        <d v="2024-12-01T00:00:00"/>
        <d v="2023-10-20T00:00:00"/>
        <d v="2022-12-05T00:00:00"/>
        <d v="2022-08-05T00:00:00"/>
        <d v="2023-03-21T00:00:00"/>
        <d v="2022-02-08T00:00:00"/>
        <d v="2023-04-01T00:00:00"/>
        <d v="2022-12-14T00:00:00"/>
        <d v="2022-05-14T00:00:00"/>
        <d v="2022-02-16T00:00:00"/>
        <d v="2024-08-28T00:00:00"/>
        <d v="2023-10-30T00:00:00"/>
        <d v="2023-06-24T00:00:00"/>
        <d v="2023-05-17T00:00:00"/>
        <d v="2023-04-06T00:00:00"/>
        <d v="2023-03-26T00:00:00"/>
        <d v="2024-10-12T00:00:00"/>
        <d v="2022-06-26T00:00:00"/>
        <d v="2022-04-15T00:00:00"/>
        <d v="2023-12-10T00:00:00"/>
        <d v="2024-09-23T00:00:00"/>
        <d v="2022-01-01T00:00:00"/>
        <d v="2022-02-03T00:00:00"/>
        <d v="2023-03-14T00:00:00"/>
        <d v="2022-08-24T00:00:00"/>
        <d v="2024-07-07T00:00:00"/>
        <d v="2022-04-13T00:00:00"/>
        <d v="2024-05-08T00:00:00"/>
        <d v="2024-09-10T00:00:00"/>
        <d v="2024-06-18T00:00:00"/>
        <d v="2022-05-06T00:00:00"/>
        <d v="2023-10-29T00:00:00"/>
        <d v="2022-08-21T00:00:00"/>
        <d v="2024-03-04T00:00:00"/>
        <d v="2022-04-17T00:00:00"/>
        <d v="2023-12-20T00:00:00"/>
        <d v="2022-03-19T00:00:00"/>
        <d v="2023-04-30T00:00:00"/>
        <d v="2024-03-22T00:00:00"/>
        <d v="2022-03-08T00:00:00"/>
        <d v="2023-09-15T00:00:00"/>
        <d v="2023-03-01T00:00:00"/>
        <d v="2023-10-24T00:00:00"/>
        <d v="2024-04-22T00:00:00"/>
        <d v="2023-06-27T00:00:00"/>
        <d v="2023-04-13T00:00:00"/>
        <d v="2023-05-19T00:00:00"/>
        <d v="2024-11-15T00:00:00"/>
        <d v="2023-12-25T00:00:00"/>
        <d v="2022-03-31T00:00:00"/>
        <d v="2024-04-24T00:00:00"/>
        <d v="2022-01-10T00:00:00"/>
        <d v="2024-06-29T00:00:00"/>
        <d v="2022-11-14T00:00:00"/>
        <d v="2023-08-11T00:00:00"/>
        <d v="2022-10-23T00:00:00"/>
        <d v="2023-02-26T00:00:00"/>
        <d v="2024-10-03T00:00:00"/>
        <d v="2022-07-17T00:00:00"/>
        <d v="2024-11-04T00:00:00"/>
        <d v="2023-02-24T00:00:00"/>
        <d v="2024-08-08T00:00:00"/>
        <d v="2024-05-14T00:00:00"/>
        <d v="2022-01-15T00:00:00"/>
        <d v="2022-05-10T00:00:00"/>
        <d v="2022-03-10T00:00:00"/>
        <d v="2022-01-23T00:00:00"/>
        <d v="2024-06-06T00:00:00"/>
        <d v="2024-10-10T00:00:00"/>
        <d v="2024-03-24T00:00:00"/>
        <d v="2023-07-21T00:00:00"/>
        <d v="2022-07-21T00:00:00"/>
        <d v="2022-09-01T00:00:00"/>
        <d v="2023-04-20T00:00:00"/>
        <d v="2024-09-29T00:00:00"/>
        <d v="2023-11-20T00:00:00"/>
        <d v="2023-07-15T00:00:00"/>
        <d v="2023-12-24T00:00:00"/>
        <d v="2023-08-13T00:00:00"/>
        <d v="2022-04-24T00:00:00"/>
        <d v="2024-07-13T00:00:00"/>
        <d v="2022-06-11T00:00:00"/>
        <d v="2024-10-28T00:00:00"/>
        <d v="2022-11-24T00:00:00"/>
        <d v="2024-06-28T00:00:00"/>
        <d v="2022-05-31T00:00:00"/>
        <d v="2024-03-25T00:00:00"/>
        <d v="2023-01-31T00:00:00"/>
        <d v="2024-06-23T00:00:00"/>
        <d v="2023-08-16T00:00:00"/>
        <d v="2023-06-10T00:00:00"/>
        <d v="2023-05-09T00:00:00"/>
        <d v="2022-05-08T00:00:00"/>
        <d v="2024-11-06T00:00:00"/>
        <d v="2022-12-08T00:00:00"/>
        <d v="2022-09-25T00:00:00"/>
        <d v="2024-07-10T00:00:00"/>
        <d v="2024-03-29T00:00:00"/>
        <d v="2022-01-11T00:00:00"/>
        <d v="2022-04-08T00:00:00"/>
        <d v="2024-01-21T00:00:00"/>
        <d v="2023-04-27T00:00:00"/>
        <d v="2022-10-02T00:00:00"/>
        <d v="2022-01-12T00:00:00"/>
        <d v="2023-01-09T00:00:00"/>
        <d v="2024-09-07T00:00:00"/>
        <d v="2022-05-17T00:00:00"/>
        <d v="2023-08-17T00:00:00"/>
        <d v="2023-09-07T00:00:00"/>
        <d v="2023-05-12T00:00:00"/>
        <d v="2023-05-08T00:00:00"/>
        <d v="2023-02-18T00:00:00"/>
        <d v="2022-01-29T00:00:00"/>
        <d v="2023-01-12T00:00:00"/>
        <d v="2022-01-03T00:00:00"/>
        <d v="2022-10-20T00:00:00"/>
        <d v="2024-08-21T00:00:00"/>
        <d v="2022-08-14T00:00:00"/>
        <d v="2024-06-03T00:00:00"/>
        <d v="2024-01-23T00:00:00"/>
        <d v="2022-03-03T00:00:00"/>
        <d v="2024-02-20T00:00:00"/>
        <d v="2022-06-19T00:00:00"/>
        <d v="2024-09-01T00:00:00"/>
        <d v="2024-08-30T00:00:00"/>
        <d v="2022-08-12T00:00:00"/>
        <d v="2022-08-04T00:00:00"/>
        <d v="2024-11-20T00:00:00"/>
        <d v="2023-08-12T00:00:00"/>
        <d v="2023-04-12T00:00:00"/>
        <d v="2023-07-26T00:00:00"/>
        <d v="2024-01-01T00:00:00"/>
        <d v="2023-12-06T00:00:00"/>
        <d v="2024-10-27T00:00:00"/>
        <d v="2024-08-04T00:00:00"/>
        <d v="2022-03-25T00:00:00"/>
        <d v="2024-10-05T00:00:00"/>
        <d v="2024-12-19T00:00:00"/>
        <d v="2022-07-18T00:00:00"/>
        <d v="2023-06-11T00:00:00"/>
        <d v="2024-10-13T00:00:00"/>
        <d v="2023-08-07T00:00:00"/>
        <d v="2024-02-18T00:00:00"/>
        <d v="2024-12-05T00:00:00"/>
        <d v="2023-12-15T00:00:00"/>
        <d v="2024-05-20T00:00:00"/>
        <d v="2024-06-05T00:00:00"/>
        <d v="2022-01-09T00:00:00"/>
        <d v="2023-12-17T00:00:00"/>
        <d v="2022-09-08T00:00:00"/>
        <d v="2022-01-22T00:00:00"/>
        <d v="2024-09-04T00:00:00"/>
        <d v="2022-11-03T00:00:00"/>
        <d v="2023-07-03T00:00:00"/>
        <d v="2024-01-25T00:00:00"/>
        <d v="2024-05-11T00:00:00"/>
        <d v="2024-01-02T00:00:00"/>
        <d v="2024-07-20T00:00:00"/>
        <d v="2023-06-14T00:00:00"/>
        <d v="2022-04-10T00:00:00"/>
        <d v="2024-10-01T00:00:00"/>
        <d v="2022-01-28T00:00:00"/>
        <d v="2023-04-05T00:00:00"/>
        <d v="2023-09-22T00:00:00"/>
        <d v="2024-08-29T00:00:00"/>
        <d v="2023-11-18T00:00:00"/>
        <d v="2023-09-12T00:00:00"/>
        <d v="2023-05-26T00:00:00"/>
        <d v="2024-11-01T00:00:00"/>
        <d v="2023-05-10T00:00:00"/>
        <d v="2022-11-04T00:00:00"/>
        <d v="2022-05-09T00:00:00"/>
        <d v="2022-11-07T00:00:00"/>
        <d v="2024-10-21T00:00:00"/>
        <d v="2024-10-06T00:00:00"/>
        <d v="2023-08-08T00:00:00"/>
        <d v="2022-01-19T00:00:00"/>
        <d v="2024-04-30T00:00:00"/>
        <d v="2023-12-26T00:00:00"/>
        <d v="2024-04-07T00:00:00"/>
        <d v="2022-10-18T00:00:00"/>
        <d v="2024-04-21T00:00:00"/>
        <d v="2022-10-31T00:00:00"/>
        <d v="2023-03-03T00:00:00"/>
        <d v="2023-02-03T00:00:00"/>
        <d v="2023-04-15T00:00:00"/>
        <d v="2022-01-02T00:00:00"/>
        <d v="2024-11-28T00:00:00"/>
        <d v="2022-02-05T00:00:00"/>
        <d v="2022-02-19T00:00:00"/>
        <d v="2024-05-06T00:00:00"/>
        <d v="2023-08-04T00:00:00"/>
        <d v="2023-09-23T00:00:00"/>
        <d v="2024-09-14T00:00:00"/>
        <d v="2023-03-17T00:00:00"/>
        <d v="2023-09-29T00:00:00"/>
        <d v="2023-09-13T00:00:00"/>
        <d v="2022-03-14T00:00:00"/>
        <d v="2022-05-29T00:00:00"/>
        <d v="2023-01-16T00:00:00"/>
        <d v="2023-09-06T00:00:00"/>
        <d v="2023-11-01T00:00:00"/>
        <d v="2022-08-25T00:00:00"/>
        <d v="2022-12-30T00:00:00"/>
        <d v="2024-01-08T00:00:00"/>
        <d v="2022-12-27T00:00:00"/>
        <d v="2024-04-14T00:00:00"/>
        <d v="2023-02-10T00:00:00"/>
        <d v="2024-07-19T00:00:00"/>
        <d v="2024-03-03T00:00:00"/>
        <d v="2024-04-12T00:00:00"/>
        <d v="2024-06-20T00:00:00"/>
        <d v="2023-06-21T00:00:00"/>
        <d v="2023-01-25T00:00:00"/>
        <d v="2024-02-17T00:00:00"/>
        <d v="2024-09-09T00:00:00"/>
        <d v="2023-09-01T00:00:00"/>
        <d v="2024-03-30T00:00:00"/>
        <d v="2024-12-22T00:00:00"/>
        <d v="2024-09-08T00:00:00"/>
        <d v="2023-01-21T00:00:00"/>
        <d v="2023-10-12T00:00:00"/>
        <d v="2022-08-01T00:00:00"/>
        <d v="2023-11-03T00:00:00"/>
        <d v="2023-06-30T00:00:00"/>
        <d v="2023-12-16T00:00:00"/>
        <d v="2022-03-20T00:00:00"/>
        <d v="2024-07-28T00:00:00"/>
        <d v="2022-03-28T00:00:00"/>
        <d v="2023-01-01T00:00:00"/>
        <d v="2024-09-18T00:00:00"/>
        <d v="2024-08-19T00:00:00"/>
        <d v="2022-06-18T00:00:00"/>
        <d v="2022-06-09T00:00:00"/>
        <d v="2023-05-03T00:00:00"/>
        <d v="2023-11-17T00:00:00"/>
        <d v="2023-10-23T00:00:00"/>
        <d v="2024-05-09T00:00:00"/>
        <d v="2023-03-12T00:00:00"/>
        <d v="2022-10-05T00:00:00"/>
        <d v="2024-05-23T00:00:00"/>
        <d v="2024-07-11T00:00:00"/>
        <d v="2022-08-22T00:00:00"/>
        <d v="2024-11-03T00:00:00"/>
        <d v="2024-10-11T00:00:00"/>
        <d v="2024-11-09T00:00:00"/>
        <d v="2024-04-01T00:00:00"/>
        <d v="2022-07-07T00:00:00"/>
        <d v="2023-05-15T00:00:00"/>
        <d v="2022-06-08T00:00:00"/>
        <d v="2023-06-26T00:00:00"/>
        <d v="2024-04-10T00:00:00"/>
        <d v="2023-07-01T00:00:00"/>
        <d v="2022-02-18T00:00:00"/>
        <d v="2023-09-30T00:00:00"/>
        <d v="2023-09-04T00:00:00"/>
        <d v="2024-07-14T00:00:00"/>
        <d v="2024-04-20T00:00:00"/>
        <d v="2024-05-24T00:00:00"/>
        <d v="2024-12-29T00:00:00"/>
        <d v="2023-05-07T00:00:00"/>
        <d v="2023-05-05T00:00:00"/>
        <d v="2023-07-27T00:00:00"/>
        <d v="2023-06-13T00:00:00"/>
        <d v="2024-05-02T00:00:00"/>
        <d v="2023-07-25T00:00:00"/>
        <d v="2023-01-26T00:00:00"/>
        <d v="2023-01-11T00:00:00"/>
        <d v="2024-09-27T00:00:00"/>
        <d v="2024-12-03T00:00:00"/>
        <d v="2023-08-24T00:00:00"/>
        <d v="2022-06-13T00:00:00"/>
        <d v="2022-08-26T00:00:00"/>
        <d v="2023-01-22T00:00:00"/>
        <d v="2022-08-08T00:00:00"/>
        <d v="2023-11-19T00:00:00"/>
        <d v="2023-06-28T00:00:00"/>
        <d v="2024-07-18T00:00:00"/>
        <d v="2022-09-22T00:00:00"/>
        <d v="2024-07-31T00:00:00"/>
        <d v="2023-04-21T00:00:00"/>
        <d v="2022-09-30T00:00:00"/>
        <d v="2024-12-25T00:00:00"/>
        <d v="2023-03-30T00:00:00"/>
        <d v="2023-10-02T00:00:00"/>
        <d v="2022-05-23T00:00:00"/>
        <d v="2023-10-08T00:00:00"/>
        <d v="2022-05-22T00:00:00"/>
        <d v="2023-08-19T00:00:00"/>
        <d v="2024-06-17T00:00:00"/>
        <d v="2023-02-02T00:00:00"/>
        <d v="2022-10-13T00:00:00"/>
        <d v="2024-03-31T00:00:00"/>
        <d v="2023-05-29T00:00:00"/>
        <d v="2024-12-21T00:00:00"/>
        <d v="2023-12-29T00:00:00"/>
        <d v="2022-11-28T00:00:00"/>
        <d v="2022-05-12T00:00:00"/>
        <d v="2022-08-02T00:00:00"/>
        <d v="2023-12-31T00:00:00"/>
        <d v="2022-04-03T00:00:00"/>
        <d v="2024-01-19T00:00:00"/>
        <d v="2023-01-17T00:00:00"/>
        <d v="2024-05-05T00:00:00"/>
        <d v="2023-06-04T00:00:00"/>
        <d v="2024-09-16T00:00:00"/>
        <d v="2023-02-16T00:00:00"/>
        <d v="2023-10-17T00:00:00"/>
        <d v="2024-02-10T00:00:00"/>
        <d v="2024-09-12T00:00:00"/>
        <d v="2022-10-04T00:00:00"/>
        <d v="2024-04-26T00:00:00"/>
        <d v="2023-11-10T00:00:00"/>
        <d v="2024-04-16T00:00:00"/>
        <d v="2023-07-11T00:00:00"/>
        <d v="2022-09-19T00:00:00"/>
        <d v="2024-02-25T00:00:00"/>
        <d v="2023-03-07T00:00:00"/>
        <d v="2022-03-09T00:00:00"/>
        <d v="2022-12-31T00:00:00"/>
        <d v="2024-04-15T00:00:00"/>
        <d v="2024-05-15T00:00:00"/>
        <d v="2022-04-14T00:00:00"/>
        <d v="2024-09-25T00:00:00"/>
        <d v="2022-03-05T00:00:00"/>
        <d v="2023-08-27T00:00:00"/>
        <d v="2024-05-30T00:00:00"/>
        <d v="2023-11-14T00:00:00"/>
        <d v="2023-11-27T00:00:00"/>
        <d v="2024-12-24T00:00:00"/>
        <d v="2022-05-21T00:00:00"/>
        <d v="2022-09-14T00:00:00"/>
        <d v="2024-03-12T00:00:00"/>
        <d v="2022-11-18T00:00:00"/>
        <d v="2022-10-22T00:00:00"/>
        <d v="2024-11-16T00:00:00"/>
        <d v="2023-03-13T00:00:00"/>
        <d v="2024-10-30T00:00:00"/>
        <d v="2024-11-19T00:00:00"/>
        <d v="2024-04-29T00:00:00"/>
        <d v="2023-11-22T00:00:00"/>
        <d v="2023-09-24T00:00:00"/>
        <d v="2024-07-17T00:00:00"/>
        <d v="2023-06-17T00:00:00"/>
        <d v="2024-06-10T00:00:00"/>
        <d v="2022-01-31T00:00:00"/>
        <d v="2022-10-01T00:00:00"/>
        <d v="2023-07-19T00:00:00"/>
        <d v="2024-05-17T00:00:00"/>
        <d v="2024-01-10T00:00:00"/>
        <d v="2023-04-10T00:00:00"/>
        <d v="2023-10-27T00:00:00"/>
        <d v="2024-12-04T00:00:00"/>
        <d v="2022-06-06T00:00:00"/>
        <d v="2023-01-28T00:00:00"/>
        <d v="2022-12-28T00:00:00"/>
        <d v="2022-09-24T00:00:00"/>
        <d v="2023-05-06T00:00:00"/>
        <d v="2023-07-13T00:00:00"/>
        <d v="2022-01-05T00:00:00"/>
        <d v="2024-08-03T00:00:00"/>
        <d v="2023-08-21T00:00:00"/>
        <d v="2024-05-12T00:00:00"/>
        <d v="2024-11-08T00:00:00"/>
        <d v="2024-04-27T00:00:00"/>
        <d v="2022-01-08T00:00:00"/>
        <d v="2024-01-24T00:00:00"/>
        <d v="2022-06-20T00:00:00"/>
        <d v="2024-08-01T00:00:00"/>
        <d v="2023-12-19T00:00:00"/>
        <d v="2022-11-20T00:00:00"/>
        <d v="2022-11-11T00:00:00"/>
        <d v="2024-01-03T00:00:00"/>
        <d v="2022-11-23T00:00:00"/>
        <d v="2024-03-01T00:00:00"/>
        <d v="2023-07-07T00:00:00"/>
        <d v="2022-02-09T00:00:00"/>
        <d v="2022-10-17T00:00:00"/>
        <d v="2022-07-31T00:00:00"/>
        <d v="2024-05-18T00:00:00"/>
        <d v="2022-09-29T00:00:00"/>
        <d v="2024-09-03T00:00:00"/>
        <d v="2023-07-17T00:00:00"/>
        <d v="2022-06-16T00:00:00"/>
        <d v="2024-05-13T00:00:00"/>
        <d v="2024-09-26T00:00:00"/>
        <d v="2023-03-28T00:00:00"/>
        <d v="2024-04-19T00:00:00"/>
        <d v="2022-04-23T00:00:00"/>
        <d v="2023-06-01T00:00:00"/>
        <d v="2022-08-03T00:00:00"/>
        <d v="2024-01-30T00:00:00"/>
        <d v="2023-07-23T00:00:00"/>
        <d v="2023-11-12T00:00:00"/>
        <d v="2024-10-15T00:00:00"/>
        <d v="2023-08-09T00:00:00"/>
        <d v="2022-08-18T00:00:00"/>
        <d v="2022-09-15T00:00:00"/>
        <d v="2022-09-23T00:00:00"/>
        <d v="2022-02-15T00:00:00"/>
        <d v="2022-02-23T00:00:00"/>
        <d v="2023-01-14T00:00:00"/>
        <d v="2024-12-06T00:00:00"/>
        <d v="2023-10-01T00:00:00"/>
        <d v="2023-12-22T00:00:00"/>
        <d v="2024-03-06T00:00:00"/>
        <d v="2024-02-11T00:00:00"/>
        <d v="2024-04-02T00:00:00"/>
        <d v="2024-11-27T00:00:00"/>
        <d v="2022-08-30T00:00:00"/>
        <d v="2022-07-15T00:00:00"/>
        <d v="2022-02-21T00:00:00"/>
        <d v="2023-09-14T00:00:00"/>
        <d v="2024-04-08T00:00:00"/>
        <d v="2023-04-16T00:00:00"/>
        <d v="2023-10-15T00:00:00"/>
        <d v="2023-08-20T00:00:00"/>
        <d v="2024-07-26T00:00:00"/>
        <d v="2024-10-31T00:00:00"/>
        <d v="2022-04-28T00:00:00"/>
        <d v="2024-08-15T00:00:00"/>
        <d v="2024-09-28T00:00:00"/>
        <d v="2022-11-01T00:00:00"/>
        <d v="2023-02-20T00:00:00"/>
        <d v="2023-05-20T00:00:00"/>
        <d v="2022-07-04T00:00:00"/>
        <d v="2022-03-23T00:00:00"/>
        <d v="2022-11-19T00:00:00"/>
        <d v="2022-02-28T00:00:00"/>
        <d v="2023-09-11T00:00:00"/>
        <d v="2022-11-13T00:00:00"/>
        <d v="2024-03-17T00:00:00"/>
        <d v="2022-02-13T00:00:00"/>
        <d v="2024-05-07T00:00:00"/>
        <d v="2024-08-12T00:00:00"/>
        <d v="2023-01-06T00:00:00"/>
        <d v="2022-03-02T00:00:00"/>
        <d v="2022-12-06T00:00:00"/>
        <d v="2023-06-18T00:00:00"/>
        <d v="2023-11-21T00:00:00"/>
        <d v="2023-03-31T00:00:00"/>
        <d v="2024-06-11T00:00:00"/>
        <d v="2023-04-25T00:00:00"/>
        <d v="2022-12-17T00:00:00"/>
        <d v="2024-07-05T00:00:00"/>
        <d v="2023-04-07T00:00:00"/>
        <d v="2022-07-26T00:00:00"/>
        <d v="2022-05-18T00:00:00"/>
        <d v="2022-03-15T00:00:00"/>
        <d v="2023-10-13T00:00:00"/>
        <d v="2024-06-19T00:00:00"/>
        <d v="2022-07-12T00:00:00"/>
        <d v="2023-03-06T00:00:00"/>
        <d v="2023-01-10T00:00:00"/>
        <d v="2024-05-25T00:00:00"/>
        <d v="2024-07-30T00:00:00"/>
        <d v="2022-03-29T00:00:00"/>
        <d v="2024-03-20T00:00:00"/>
        <d v="2024-02-02T00:00:00"/>
        <d v="2022-02-25T00:00:00"/>
        <d v="2024-02-29T00:00:00"/>
        <d v="2024-09-17T00:00:00"/>
        <d v="2024-11-21T00:00:00"/>
        <d v="2022-07-20T00:00:00"/>
        <d v="2022-08-15T00:00:00"/>
        <d v="2024-04-09T00:00:00"/>
        <d v="2023-05-01T00:00:00"/>
        <d v="2024-01-28T00:00:00"/>
        <d v="2024-04-06T00:00:00"/>
        <d v="2022-12-03T00:00:00"/>
        <d v="2023-11-30T00:00:00"/>
        <d v="2022-01-13T00:00:00"/>
        <d v="2023-08-29T00:00:00"/>
        <d v="2024-08-31T00:00:00"/>
        <d v="2022-02-27T00:00:00"/>
        <d v="2022-07-29T00:00:00"/>
        <d v="2023-04-17T00:00:00"/>
        <d v="2024-06-30T00:00:00"/>
        <d v="2024-07-04T00:00:00"/>
        <d v="2023-03-10T00:00:00"/>
        <d v="2023-01-03T00:00:00"/>
        <d v="2023-03-22T00:00:00"/>
        <d v="2022-09-07T00:00:00"/>
        <d v="2024-06-08T00:00:00"/>
        <d v="2022-07-11T00:00:00"/>
        <d v="2023-03-19T00:00:00"/>
        <d v="2022-12-26T00:00:00"/>
        <d v="2024-08-17T00:00:00"/>
        <d v="2023-11-05T00:00:00"/>
        <d v="2023-07-06T00:00:00"/>
        <d v="2023-11-25T00:00:00"/>
        <d v="2022-06-15T00:00:00"/>
        <d v="2022-03-13T00:00:00"/>
        <d v="2023-11-06T00:00:00"/>
        <d v="2024-03-02T00:00:00"/>
        <d v="2023-08-31T00:00:00"/>
        <d v="2023-03-23T00:00:00"/>
        <d v="2022-08-13T00:00:00"/>
        <d v="2022-05-05T00:00:00"/>
        <d v="2024-11-14T00:00:00"/>
        <d v="2022-04-09T00:00:00"/>
        <d v="2024-06-12T00:00:00"/>
        <d v="2023-10-18T00:00:00"/>
        <d v="2023-07-29T00:00:00"/>
        <d v="2024-03-07T00:00:00"/>
        <d v="2024-08-22T00:00:00"/>
        <d v="2023-04-23T00:00:00"/>
        <d v="2022-10-15T00:00:00"/>
        <d v="2022-11-02T00:00:00"/>
        <d v="2023-09-10T00:00:00"/>
        <d v="2024-03-28T00:00:00"/>
        <d v="2022-07-01T00:00:00"/>
        <d v="2023-07-08T00:00:00"/>
        <d v="2022-12-29T00:00:00"/>
        <d v="2023-08-01T00:00:00"/>
        <d v="2024-11-11T00:00:00"/>
        <d v="2024-07-29T00:00:00"/>
        <d v="2022-11-22T00:00:00"/>
        <d v="2024-09-13T00:00:00"/>
        <d v="2024-05-26T00:00:00"/>
        <d v="2023-03-11T00:00:00"/>
        <d v="2022-04-26T00:00:00"/>
        <d v="2023-06-07T00:00:00"/>
        <d v="2024-01-17T00:00:00"/>
        <d v="2023-05-22T00:00:00"/>
        <d v="2023-11-04T00:00:00"/>
        <d v="2023-04-02T00:00:00"/>
        <d v="2024-01-26T00:00:00"/>
        <d v="2022-08-10T00:00:00"/>
        <d v="2023-08-05T00:00:00"/>
        <d v="2023-08-30T00:00:00"/>
        <d v="2022-09-16T00:00:00"/>
        <d v="2023-01-13T00:00:00"/>
        <d v="2023-03-05T00:00:00"/>
        <d v="2024-12-26T00:00:00"/>
        <d v="2024-07-25T00:00:00"/>
        <d v="2022-06-28T00:00:00"/>
        <d v="2023-04-26T00:00:00"/>
        <d v="2023-01-02T00:00:00"/>
        <d v="2023-06-22T00:00:00"/>
        <d v="2024-07-27T00:00:00"/>
        <d v="2023-08-15T00:00:00"/>
        <d v="2023-02-23T00:00:00"/>
        <d v="2022-03-26T00:00:00"/>
        <d v="2024-03-23T00:00:00"/>
        <d v="2024-12-09T00:00:00"/>
        <d v="2023-09-21T00:00:00"/>
        <d v="2024-04-13T00:00:00"/>
        <d v="2023-05-23T00:00:00"/>
        <d v="2022-01-21T00:00:00"/>
        <d v="2022-10-14T00:00:00"/>
        <d v="2023-08-23T00:00:00"/>
        <d v="2023-06-09T00:00:00"/>
        <d v="2022-07-10T00:00:00"/>
        <d v="2024-01-05T00:00:00"/>
        <d v="2023-11-29T00:00:00"/>
        <d v="2024-09-05T00:00:00"/>
        <d v="2023-08-18T00:00:00"/>
        <d v="2023-06-02T00:00:00"/>
        <d v="2024-12-18T00:00:00"/>
        <d v="2023-12-09T00:00:00"/>
        <d v="2022-10-10T00:00:00"/>
        <d v="2022-06-14T00:00:00"/>
        <d v="2023-09-03T00:00:00"/>
        <d v="2024-06-07T00:00:00"/>
        <d v="2024-02-04T00:00:00"/>
        <d v="2023-03-24T00:00:00"/>
        <d v="2024-06-13T00:00:00"/>
        <d v="2023-09-17T00:00:00"/>
        <d v="2022-08-17T00:00:00"/>
        <d v="2023-05-14T00:00:00"/>
        <d v="2022-03-12T00:00:00"/>
        <d v="2023-06-16T00:00:00"/>
        <d v="2023-06-20T00:00:00"/>
        <d v="2022-05-02T00:00:00"/>
        <d v="2022-08-07T00:00:00"/>
        <d v="2022-03-06T00:00:00"/>
        <d v="2023-11-24T00:00:00"/>
        <d v="2023-10-14T00:00:00"/>
        <d v="2023-05-16T00:00:00"/>
        <d v="2023-06-19T00:00:00"/>
        <d v="2023-08-06T00:00:00"/>
        <d v="2022-02-01T00:00:00"/>
        <d v="2022-02-10T00:00:00"/>
        <d v="2023-10-19T00:00:00"/>
        <d v="2022-06-17T00:00:00"/>
        <d v="2022-05-28T00:00:00"/>
        <d v="2024-08-20T00:00:00"/>
        <d v="2022-10-09T00:00:00"/>
        <d v="2023-09-26T00:00:00"/>
        <d v="2024-02-19T00:00:00"/>
        <d v="2022-12-18T00:00:00"/>
        <d v="2022-01-25T00:00:00"/>
        <d v="2022-12-09T00:00:00"/>
        <d v="2024-05-31T00:00:00"/>
        <d v="2022-07-13T00:00:00"/>
        <d v="2022-02-26T00:00:00"/>
        <d v="2024-07-12T00:00:00"/>
        <d v="2023-06-08T00:00:00"/>
        <d v="2022-07-16T00:00:00"/>
        <d v="2023-07-24T00:00:00"/>
        <d v="2024-03-14T00:00:00"/>
        <d v="2024-11-17T00:00:00"/>
        <d v="2023-11-28T00:00:00"/>
        <d v="2022-08-19T00:00:00"/>
        <d v="2024-06-15T00:00:00"/>
        <d v="2023-01-08T00:00:00"/>
        <d v="2022-02-11T00:00:00"/>
        <d v="2022-07-23T00:00:00"/>
        <d v="2022-09-09T00:00:00"/>
        <d v="2023-02-13T00:00:00"/>
        <d v="2023-11-09T00:00:00"/>
        <d v="2022-05-20T00:00:00"/>
        <d v="2024-06-26T00:00:00"/>
        <d v="2023-05-18T00:00:00"/>
        <d v="2022-02-14T00:00:00"/>
        <d v="2023-12-18T00:00:00"/>
        <d v="2024-12-15T00:00:00"/>
        <d v="2024-04-25T00:00:00"/>
        <d v="2024-02-09T00:00:00"/>
        <d v="2023-04-19T00:00:00"/>
        <d v="2024-04-18T00:00:00"/>
        <d v="2023-12-12T00:00:00"/>
        <d v="2023-10-04T00:00:00"/>
        <d v="2023-10-22T00:00:00"/>
        <d v="2022-04-07T00:00:00"/>
        <d v="2024-10-02T00:00:00"/>
        <d v="2022-09-28T00:00:00"/>
        <d v="2024-06-04T00:00:00"/>
        <d v="2023-07-31T00:00:00"/>
        <d v="2022-01-16T00:00:00"/>
        <d v="2024-08-24T00:00:00"/>
        <d v="2022-10-03T00:00:00"/>
        <d v="2022-12-23T00:00:00"/>
        <d v="2022-06-30T00:00:00"/>
        <d v="2024-11-10T00:00:00"/>
        <d v="2024-02-24T00:00:00"/>
        <d v="2022-04-11T00:00:00"/>
        <d v="2023-05-21T00:00:00"/>
        <d v="2024-11-18T00:00:00"/>
        <d v="2022-11-16T00:00:00"/>
        <d v="2024-02-07T00:00:00"/>
        <d v="2024-03-21T00:00:00"/>
        <d v="2022-10-08T00:00:00"/>
        <d v="2022-05-13T00:00:00"/>
        <d v="2024-03-08T00:00:00"/>
        <d v="2022-03-11T00:00:00"/>
        <d v="2024-12-11T00:00:00"/>
        <d v="2024-03-13T00:00:00"/>
        <d v="2022-12-22T00:00:00"/>
        <d v="2023-11-11T00:00:00"/>
        <d v="2023-09-09T00:00:00"/>
        <d v="2022-02-07T00:00:00"/>
        <d v="2024-01-07T00:00:00"/>
        <d v="2023-07-05T00:00:00"/>
        <d v="2024-01-27T00:00:00"/>
        <d v="2024-03-19T00:00:00"/>
        <d v="2024-02-08T00:00:00"/>
        <d v="2023-05-11T00:00:00"/>
        <d v="2022-03-27T00:00:00"/>
        <d v="2023-01-23T00:00:00"/>
        <d v="2023-03-15T00:00:00"/>
        <d v="2022-03-16T00:00:00"/>
        <d v="2023-01-07T00:00:00"/>
        <d v="2023-05-27T00:00:00"/>
        <d v="2023-07-10T00:00:00"/>
        <d v="2024-01-16T00:00:00"/>
        <d v="2024-07-24T00:00:00"/>
        <d v="2022-02-22T00:00:00"/>
        <d v="2022-06-22T00:00:00"/>
        <d v="2022-04-29T00:00:00"/>
        <d v="2022-10-11T00:00:00"/>
        <d v="2024-10-26T00:00:00"/>
        <d v="2022-10-25T00:00:00"/>
        <d v="2024-04-04T00:00:00"/>
        <d v="2024-06-25T00:00:00"/>
        <d v="2023-01-27T00:00:00"/>
        <d v="2022-01-20T00:00:00"/>
        <d v="2023-02-06T00:00:00"/>
        <d v="2022-08-09T00:00:00"/>
        <d v="2024-12-13T00:00:00"/>
        <d v="2024-05-21T00:00:00"/>
        <d v="2024-07-02T00:00:00"/>
        <d v="2024-09-15T00:00:00"/>
        <d v="2022-12-19T00:00:00"/>
        <d v="2024-09-21T00:00:00"/>
        <d v="2024-08-23T00:00:00"/>
        <d v="2022-11-10T00:00:00"/>
        <d v="2023-05-02T00:00:00"/>
        <d v="2024-12-30T00:00:00"/>
        <d v="2024-10-29T00:00:00"/>
        <d v="2024-09-20T00:00:00"/>
        <d v="2022-04-20T00:00:00"/>
        <d v="2022-06-27T00:00:00"/>
        <d v="2024-01-29T00:00:00"/>
        <d v="2022-05-25T00:00:00"/>
        <d v="2023-10-28T00:00:00"/>
        <d v="2022-10-24T00:00:00"/>
        <d v="2022-07-05T00:00:00"/>
        <d v="2022-08-11T00:00:00"/>
        <d v="2024-10-23T00:00:00"/>
        <d v="2022-11-06T00:00:00"/>
        <d v="2023-08-02T00:00:00"/>
        <d v="2022-12-15T00:00:00"/>
        <d v="2022-11-25T00:00:00"/>
        <d v="2022-10-06T00:00:00"/>
        <d v="2024-01-06T00:00:00"/>
        <d v="2024-01-13T00:00:00"/>
        <d v="2024-02-13T00:00:00"/>
        <d v="2022-12-25T00:00:00"/>
        <d v="2022-07-30T00:00:00"/>
        <d v="2024-11-02T00:00:00"/>
        <d v="2023-09-18T00:00:00"/>
        <d v="2024-08-16T00:00:00"/>
        <d v="2022-07-24T00:00:00"/>
        <d v="2022-03-01T00:00:00"/>
        <d v="2024-04-23T00:00:00"/>
        <d v="2023-02-21T00:00:00"/>
        <d v="2022-04-22T00:00:00"/>
        <d v="2022-04-25T00:00:00"/>
        <d v="2022-01-07T00:00:00"/>
        <d v="2024-02-05T00:00:00"/>
        <d v="2022-05-03T00:00:00"/>
        <d v="2024-09-22T00:00:00"/>
        <d v="2022-10-12T00:00:00"/>
        <d v="2023-10-25T00:00:00"/>
        <d v="2023-06-12T00:00:00"/>
        <d v="2024-03-09T00:00:00"/>
        <d v="2022-04-16T00:00:00"/>
        <d v="2022-09-21T00:00:00"/>
        <d v="2022-01-04T00:00:00"/>
        <d v="2022-12-11T00:00:00"/>
        <d v="2022-09-17T00:00:00"/>
        <d v="2023-02-19T00:00:00"/>
        <d v="2022-11-26T00:00:00"/>
        <d v="2024-02-21T00:00:00"/>
        <d v="2024-12-07T00:00:00"/>
        <d v="2024-06-16T00:00:00"/>
        <d v="2022-10-30T00:00:00"/>
        <d v="2022-01-24T00:00:00"/>
        <d v="2022-06-04T00:00:00"/>
        <d v="2024-07-23T00:00:00"/>
        <d v="2023-11-08T00:00:00"/>
        <d v="2024-07-01T00:00:00"/>
        <d v="2024-05-28T00:00:00"/>
        <d v="2022-05-07T00:00:00"/>
        <d v="2022-07-27T00:00:00"/>
        <d v="2023-02-15T00:00:00"/>
        <d v="2023-04-11T00:00:00"/>
        <d v="2022-01-26T00:00:00"/>
        <d v="2022-10-19T00:00:00"/>
        <d v="2023-02-14T00:00:00"/>
        <d v="2024-10-20T00:00:00"/>
        <d v="2022-07-06T00:00:00"/>
        <d v="2024-02-23T00:00:00"/>
        <d v="2022-06-24T00:00:00"/>
        <d v="2024-04-03T00:00:00"/>
        <d v="2023-12-13T00:00:00"/>
        <d v="2022-01-18T00:00:00"/>
        <d v="2023-07-22T00:00:00"/>
        <d v="2023-06-05T00:00:00"/>
        <d v="2023-10-26T00:00:00"/>
        <d v="2023-07-28T00:00:00"/>
        <d v="2022-12-07T00:00:00"/>
        <d v="2023-02-25T00:00:00"/>
        <d v="2024-05-19T00:00:00"/>
        <d v="2023-09-27T00:00:00"/>
        <d v="2022-09-02T00:00:00"/>
        <d v="2024-08-07T00:00:00"/>
        <d v="2022-11-21T00:00:00"/>
        <d v="2022-09-12T00:00:00"/>
        <d v="2023-10-03T00:00:00"/>
        <d v="2023-12-08T00:00:00"/>
        <d v="2022-02-24T00:00:00"/>
        <d v="2023-08-22T00:00:00"/>
        <d v="2024-10-14T00:00:00"/>
        <d v="2022-11-30T00:00:00"/>
        <d v="2022-11-05T00:00:00"/>
        <d v="2024-11-23T00:00:00"/>
        <d v="2023-12-07T00:00:00"/>
        <d v="2024-01-15T00:00:00"/>
        <d v="2023-07-12T00:00:00"/>
        <d v="2022-08-27T00:00:00"/>
        <d v="2023-03-16T00:00:00"/>
        <d v="2023-10-16T00:00:00"/>
        <d v="2023-04-28T00:00:00"/>
        <d v="2024-05-10T00:00:00"/>
        <d v="2023-08-03T00:00:00"/>
        <d v="2022-11-15T00:00:00"/>
        <d v="2024-08-26T00:00:00"/>
        <d v="2024-12-27T00:00:00"/>
        <d v="2023-01-05T00:00:00"/>
        <d v="2024-10-25T00:00:00"/>
        <d v="2024-12-16T00:00:00"/>
        <d v="2024-03-15T00:00:00"/>
        <d v="2022-07-25T00:00:00"/>
        <d v="2024-11-13T00:00:00"/>
        <d v="2022-04-30T00:00:00"/>
        <d v="2023-06-23T00:00:00"/>
        <d v="2024-10-04T00:00:00"/>
        <d v="2024-08-13T00:00:00"/>
        <d v="2023-03-02T00:00:00"/>
        <d v="2023-11-15T00:00:00"/>
        <d v="2024-06-24T00:00:00"/>
        <d v="2024-12-20T00:00:00"/>
        <d v="2023-09-25T00:00:00"/>
        <d v="2024-11-25T00:00:00"/>
        <d v="2022-08-29T00:00:00"/>
        <d v="2024-10-17T00:00:00"/>
        <d v="2023-10-11T00:00:00"/>
        <d v="2023-01-30T00:00:00"/>
        <d v="2024-02-06T00:00:00"/>
        <d v="2024-04-11T00:00:00"/>
        <d v="2023-04-03T00:00:00"/>
        <d v="2024-10-16T00:00:00"/>
        <d v="2022-12-02T00:00:00"/>
        <d v="2022-11-12T00:00:00"/>
        <d v="2022-12-10T00:00:00"/>
        <d v="2024-09-24T00:00:00"/>
        <d v="2024-07-15T00:00:00"/>
        <d v="2023-03-20T00:00:00"/>
        <d v="2022-08-28T00:00:00"/>
        <d v="2022-12-01T00:00:00"/>
        <d v="2023-07-02T00:00:00"/>
        <d v="2024-10-24T00:00:00"/>
        <d v="2024-07-16T00:00:00"/>
        <d v="2023-09-19T00:00:00"/>
        <d v="2022-04-05T00:00:00"/>
        <d v="2023-09-08T00:00:00"/>
        <d v="2022-05-19T00:00:00"/>
        <d v="2022-02-02T00:00:00"/>
        <d v="2022-04-21T00:00:00"/>
        <d v="2024-11-12T00:00:00"/>
        <d v="2022-12-20T00:00:00"/>
        <d v="2022-06-05T00:00:00"/>
        <d v="2024-03-11T00:00:00"/>
        <d v="2023-05-13T00:00:00"/>
        <d v="2024-02-14T00:00:00"/>
        <d v="2022-09-13T00:00:00"/>
        <d v="2024-08-02T00:00:00"/>
        <d v="2023-07-30T00:00:00"/>
        <d v="2022-06-21T00:00:00"/>
        <d v="2022-07-08T00:00:00"/>
        <d v="2024-01-18T00:00:00"/>
        <d v="2022-06-02T00:00:00"/>
        <d v="2023-02-08T00:00:00"/>
        <d v="2022-10-27T00:00:00"/>
        <d v="2022-10-26T00:00:00"/>
        <d v="2024-02-22T00:00:00"/>
        <d v="2024-08-06T00:00:00"/>
        <d v="2022-10-28T00:00:00"/>
        <d v="2022-06-07T00:00:00"/>
        <d v="2024-06-22T00:00:00"/>
        <d v="2023-06-03T00:00:00"/>
        <d v="2023-12-02T00:00:00"/>
        <d v="2023-08-14T00:00:00"/>
        <d v="2023-07-16T00:00:00"/>
        <d v="2024-10-18T00:00:00"/>
        <d v="2024-09-06T00:00:00"/>
        <d v="2024-10-07T00:00:00"/>
        <d v="2022-04-27T00:00:00"/>
        <d v="2023-01-15T00:00:00"/>
        <d v="2023-02-27T00:00:00"/>
        <d v="2023-05-24T00:00:00"/>
        <d v="2024-05-16T00:00:00"/>
        <d v="2023-11-02T00:00:00"/>
        <d v="2024-07-22T00:00:00"/>
        <d v="2024-03-10T00:00:00"/>
        <d v="2022-10-29T00:00:00"/>
        <d v="2024-01-11T00:00:00"/>
        <d v="2022-02-04T00:00:00"/>
        <d v="2023-01-24T00:00:00"/>
        <d v="2023-03-04T00:00:00"/>
        <d v="2024-05-01T00:00:00"/>
        <d v="2022-02-17T00:00:00"/>
        <d v="2024-02-16T00:00:00"/>
        <d v="2024-11-29T00:00:00"/>
        <d v="2023-01-18T00:00:00"/>
        <d v="2023-11-23T00:00:00"/>
        <d v="2023-12-03T00:00:00"/>
        <d v="2023-04-29T00:00:00"/>
        <d v="2024-08-05T00:00:00"/>
        <d v="2023-08-10T00:00:00"/>
        <d v="2022-05-16T00:00:00"/>
        <d v="2023-02-04T00:00:00"/>
        <d v="2022-03-04T00:00:00"/>
        <d v="2024-02-28T00:00:00"/>
        <d v="2023-03-08T00:00:00"/>
        <d v="2023-11-07T00:00:00"/>
        <d v="2023-11-26T00:00:00"/>
        <d v="2023-11-16T00:00:00"/>
        <d v="2024-10-19T00:00:00"/>
        <d v="2024-12-02T00:00:00"/>
        <d v="2023-02-09T00:00:00"/>
        <d v="2022-06-12T00:00:00"/>
        <d v="2022-09-06T00:00:00"/>
        <d v="2023-01-04T00:00:00"/>
        <d v="2022-12-21T00:00:00"/>
        <d v="2024-12-08T00:00:00"/>
        <d v="2024-07-06T00:00:00"/>
        <d v="2023-04-08T00:00:00"/>
        <d v="2023-05-30T00:00:00"/>
        <d v="2023-04-22T00:00:00"/>
        <d v="2022-11-09T00:00:00"/>
        <d v="2024-11-22T00:00:00"/>
        <d v="2024-12-10T00:00:00"/>
        <d v="2024-01-04T00:00:00"/>
        <d v="2023-09-16T00:00:00"/>
        <d v="2022-07-14T00:00:00"/>
        <d v="2023-02-28T00:00:00"/>
        <d v="2022-06-23T00:00:00"/>
        <d v="2022-07-03T00:00:00"/>
        <d v="2022-03-21T00:00:00"/>
        <d v="2022-12-24T00:00:00"/>
        <d v="2022-02-12T00:00:00"/>
        <d v="2024-02-26T00:00:00"/>
        <d v="2024-02-12T00:00:00"/>
        <d v="2024-06-01T00:00:00"/>
        <d v="2023-03-25T00:00:00"/>
        <d v="2024-12-14T00:00:00"/>
        <d v="2022-06-25T00:00:00"/>
        <d v="2024-05-29T00:00:00"/>
        <d v="2022-09-05T00:00:00"/>
        <d v="2023-03-09T00:00:00"/>
        <d v="2022-03-07T00:00:00"/>
        <d v="2023-04-24T00:00:00"/>
        <d v="2023-06-15T00:00:00"/>
        <d v="2022-07-19T00:00:00"/>
        <d v="2022-03-24T00:00:00"/>
        <d v="2023-01-20T00:00:00"/>
        <d v="2022-03-18T00:00:00"/>
        <d v="2024-07-08T00:00:00"/>
        <d v="2024-11-24T00:00:00"/>
        <d v="2022-11-29T00:00:00"/>
        <d v="2022-05-26T00:00:00"/>
        <d v="2024-12-12T00:00:00"/>
        <d v="2023-12-14T00:00:00"/>
        <d v="2022-06-29T00:00:00"/>
        <d v="2023-08-28T00:00:00"/>
        <d v="2022-07-28T00:00:00"/>
        <d v="2023-02-22T00:00:00"/>
        <d v="2024-08-18T00:00:00"/>
        <d v="2022-09-18T00:00:00"/>
        <d v="2024-01-12T00:00:00"/>
        <d v="2023-09-05T00:00:00"/>
        <d v="2024-01-14T00:00:00"/>
        <d v="2023-02-12T00:00:00"/>
        <d v="2022-08-16T00:00:00"/>
        <d v="2022-08-23T00:00:00"/>
        <d v="2022-11-08T00:00:00"/>
        <d v="2022-04-04T00:00:00"/>
        <d v="2022-04-18T00:00:00"/>
        <d v="2024-07-21T00:00:00"/>
        <d v="2024-11-30T00:00:00"/>
        <d v="2022-10-07T00:00:00"/>
        <d v="2023-08-26T00:00:00"/>
        <d v="2022-08-31T00:00:00"/>
        <d v="2022-06-01T00:00:00"/>
        <d v="2022-07-02T00:00:00"/>
        <d v="2022-01-30T00:00:00"/>
        <d v="2022-01-06T00:00:00"/>
        <d v="2024-02-27T00:00:00"/>
        <d v="2024-11-05T00:00:00"/>
        <d v="2022-12-16T00:00:00"/>
        <d v="2022-09-20T00:00:00"/>
        <d v="2023-10-06T00:00:00"/>
        <d v="2022-04-12T00:00:00"/>
      </sharedItems>
      <fieldGroup par="9"/>
    </cacheField>
    <cacheField name="Product Name" numFmtId="0">
      <sharedItems count="10"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y" numFmtId="0">
      <sharedItems count="3">
        <s v="Office"/>
        <s v="Accessories"/>
        <s v="Electronics"/>
      </sharedItems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0">
      <sharedItems containsSemiMixedTypes="0" containsString="0" containsNumber="1" minValue="6.97" maxValue="2946.93"/>
    </cacheField>
    <cacheField name="Months (Order Date)" numFmtId="0" databaseField="0">
      <fieldGroup base="0">
        <rangePr groupBy="months" startDate="2022-01-01T00:00:00" endDate="2025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Order Date)" numFmtId="0" databaseField="0">
      <fieldGroup base="0">
        <rangePr groupBy="quarters" startDate="2022-01-01T00:00:00" endDate="2025-01-01T00:00:00"/>
        <groupItems count="6">
          <s v="&lt;1/1/2022"/>
          <s v="Qtr1"/>
          <s v="Qtr2"/>
          <s v="Qtr3"/>
          <s v="Qtr4"/>
          <s v="&gt;1/1/2025"/>
        </groupItems>
      </fieldGroup>
    </cacheField>
    <cacheField name="Years (Order Date)" numFmtId="0" databaseField="0">
      <fieldGroup base="0">
        <rangePr groupBy="years" startDate="2022-01-01T00:00:00" endDate="2025-01-01T00:00:00"/>
        <groupItems count="6">
          <s v="&lt;1/1/2022"/>
          <s v="2022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 pivotCacheId="6210053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x v="0"/>
    <x v="0"/>
    <x v="0"/>
    <x v="0"/>
    <n v="4"/>
    <n v="3640"/>
    <n v="348.93"/>
  </r>
  <r>
    <x v="1"/>
    <x v="1"/>
    <x v="1"/>
    <x v="1"/>
    <n v="7"/>
    <n v="1197"/>
    <n v="106.53"/>
  </r>
  <r>
    <x v="2"/>
    <x v="2"/>
    <x v="2"/>
    <x v="2"/>
    <n v="5"/>
    <n v="5865"/>
    <n v="502.73"/>
  </r>
  <r>
    <x v="3"/>
    <x v="1"/>
    <x v="1"/>
    <x v="2"/>
    <n v="2"/>
    <n v="786"/>
    <n v="202.87"/>
  </r>
  <r>
    <x v="4"/>
    <x v="1"/>
    <x v="1"/>
    <x v="3"/>
    <n v="1"/>
    <n v="509"/>
    <n v="103.28"/>
  </r>
  <r>
    <x v="5"/>
    <x v="3"/>
    <x v="2"/>
    <x v="3"/>
    <n v="1"/>
    <n v="524"/>
    <n v="106.35"/>
  </r>
  <r>
    <x v="6"/>
    <x v="4"/>
    <x v="1"/>
    <x v="0"/>
    <n v="7"/>
    <n v="6167"/>
    <n v="1027.98"/>
  </r>
  <r>
    <x v="7"/>
    <x v="3"/>
    <x v="2"/>
    <x v="2"/>
    <n v="7"/>
    <n v="3059"/>
    <n v="873.5"/>
  </r>
  <r>
    <x v="8"/>
    <x v="5"/>
    <x v="2"/>
    <x v="1"/>
    <n v="9"/>
    <n v="5526"/>
    <n v="595.28"/>
  </r>
  <r>
    <x v="9"/>
    <x v="0"/>
    <x v="0"/>
    <x v="2"/>
    <n v="8"/>
    <n v="672"/>
    <n v="186.37"/>
  </r>
  <r>
    <x v="10"/>
    <x v="6"/>
    <x v="1"/>
    <x v="2"/>
    <n v="6"/>
    <n v="7074"/>
    <n v="1357.68"/>
  </r>
  <r>
    <x v="11"/>
    <x v="5"/>
    <x v="2"/>
    <x v="1"/>
    <n v="2"/>
    <n v="502"/>
    <n v="137.4"/>
  </r>
  <r>
    <x v="12"/>
    <x v="2"/>
    <x v="2"/>
    <x v="0"/>
    <n v="7"/>
    <n v="7462"/>
    <n v="2166.17"/>
  </r>
  <r>
    <x v="13"/>
    <x v="7"/>
    <x v="2"/>
    <x v="3"/>
    <n v="5"/>
    <n v="4205"/>
    <n v="585.29"/>
  </r>
  <r>
    <x v="14"/>
    <x v="3"/>
    <x v="2"/>
    <x v="3"/>
    <n v="1"/>
    <n v="570"/>
    <n v="138.54"/>
  </r>
  <r>
    <x v="15"/>
    <x v="4"/>
    <x v="1"/>
    <x v="1"/>
    <n v="1"/>
    <n v="441"/>
    <n v="102.42"/>
  </r>
  <r>
    <x v="16"/>
    <x v="1"/>
    <x v="1"/>
    <x v="0"/>
    <n v="7"/>
    <n v="7469"/>
    <n v="589.80999999999995"/>
  </r>
  <r>
    <x v="17"/>
    <x v="2"/>
    <x v="2"/>
    <x v="2"/>
    <n v="2"/>
    <n v="2212"/>
    <n v="145.75"/>
  </r>
  <r>
    <x v="18"/>
    <x v="2"/>
    <x v="2"/>
    <x v="1"/>
    <n v="5"/>
    <n v="740"/>
    <n v="146.38999999999999"/>
  </r>
  <r>
    <x v="19"/>
    <x v="4"/>
    <x v="1"/>
    <x v="0"/>
    <n v="1"/>
    <n v="662"/>
    <n v="193.92"/>
  </r>
  <r>
    <x v="20"/>
    <x v="1"/>
    <x v="1"/>
    <x v="0"/>
    <n v="7"/>
    <n v="5712"/>
    <n v="651.27"/>
  </r>
  <r>
    <x v="21"/>
    <x v="5"/>
    <x v="2"/>
    <x v="0"/>
    <n v="3"/>
    <n v="2739"/>
    <n v="572.73"/>
  </r>
  <r>
    <x v="22"/>
    <x v="8"/>
    <x v="1"/>
    <x v="3"/>
    <n v="5"/>
    <n v="1400"/>
    <n v="213.63"/>
  </r>
  <r>
    <x v="23"/>
    <x v="0"/>
    <x v="0"/>
    <x v="0"/>
    <n v="3"/>
    <n v="3477"/>
    <n v="939.2"/>
  </r>
  <r>
    <x v="24"/>
    <x v="3"/>
    <x v="2"/>
    <x v="0"/>
    <n v="5"/>
    <n v="3475"/>
    <n v="570.36"/>
  </r>
  <r>
    <x v="25"/>
    <x v="9"/>
    <x v="2"/>
    <x v="3"/>
    <n v="9"/>
    <n v="6138"/>
    <n v="1562.14"/>
  </r>
  <r>
    <x v="26"/>
    <x v="3"/>
    <x v="2"/>
    <x v="3"/>
    <n v="5"/>
    <n v="3665"/>
    <n v="406.93"/>
  </r>
  <r>
    <x v="27"/>
    <x v="0"/>
    <x v="0"/>
    <x v="0"/>
    <n v="2"/>
    <n v="2372"/>
    <n v="206.42"/>
  </r>
  <r>
    <x v="28"/>
    <x v="9"/>
    <x v="2"/>
    <x v="0"/>
    <n v="2"/>
    <n v="1382"/>
    <n v="211.11"/>
  </r>
  <r>
    <x v="29"/>
    <x v="9"/>
    <x v="2"/>
    <x v="3"/>
    <n v="1"/>
    <n v="1126"/>
    <n v="194.08"/>
  </r>
  <r>
    <x v="30"/>
    <x v="0"/>
    <x v="0"/>
    <x v="3"/>
    <n v="8"/>
    <n v="1376"/>
    <n v="152.1"/>
  </r>
  <r>
    <x v="31"/>
    <x v="1"/>
    <x v="1"/>
    <x v="3"/>
    <n v="4"/>
    <n v="988"/>
    <n v="147.91"/>
  </r>
  <r>
    <x v="32"/>
    <x v="9"/>
    <x v="2"/>
    <x v="0"/>
    <n v="9"/>
    <n v="10773"/>
    <n v="1907.36"/>
  </r>
  <r>
    <x v="33"/>
    <x v="4"/>
    <x v="1"/>
    <x v="2"/>
    <n v="4"/>
    <n v="3252"/>
    <n v="713.46"/>
  </r>
  <r>
    <x v="34"/>
    <x v="4"/>
    <x v="1"/>
    <x v="0"/>
    <n v="3"/>
    <n v="2739"/>
    <n v="202.81"/>
  </r>
  <r>
    <x v="35"/>
    <x v="2"/>
    <x v="2"/>
    <x v="2"/>
    <n v="7"/>
    <n v="2709"/>
    <n v="702.79"/>
  </r>
  <r>
    <x v="36"/>
    <x v="0"/>
    <x v="0"/>
    <x v="3"/>
    <n v="3"/>
    <n v="936"/>
    <n v="201.24"/>
  </r>
  <r>
    <x v="37"/>
    <x v="3"/>
    <x v="2"/>
    <x v="3"/>
    <n v="4"/>
    <n v="3720"/>
    <n v="410.92"/>
  </r>
  <r>
    <x v="38"/>
    <x v="1"/>
    <x v="1"/>
    <x v="3"/>
    <n v="5"/>
    <n v="5320"/>
    <n v="716.91"/>
  </r>
  <r>
    <x v="39"/>
    <x v="4"/>
    <x v="1"/>
    <x v="1"/>
    <n v="4"/>
    <n v="804"/>
    <n v="121.51"/>
  </r>
  <r>
    <x v="40"/>
    <x v="9"/>
    <x v="2"/>
    <x v="0"/>
    <n v="8"/>
    <n v="1224"/>
    <n v="246.77"/>
  </r>
  <r>
    <x v="41"/>
    <x v="4"/>
    <x v="1"/>
    <x v="2"/>
    <n v="9"/>
    <n v="8667"/>
    <n v="781.78"/>
  </r>
  <r>
    <x v="42"/>
    <x v="6"/>
    <x v="1"/>
    <x v="3"/>
    <n v="3"/>
    <n v="3018"/>
    <n v="320.11"/>
  </r>
  <r>
    <x v="43"/>
    <x v="9"/>
    <x v="2"/>
    <x v="3"/>
    <n v="5"/>
    <n v="4325"/>
    <n v="1023.39"/>
  </r>
  <r>
    <x v="44"/>
    <x v="9"/>
    <x v="2"/>
    <x v="2"/>
    <n v="3"/>
    <n v="1557"/>
    <n v="181.08"/>
  </r>
  <r>
    <x v="45"/>
    <x v="6"/>
    <x v="1"/>
    <x v="2"/>
    <n v="6"/>
    <n v="3672"/>
    <n v="1002.5"/>
  </r>
  <r>
    <x v="46"/>
    <x v="1"/>
    <x v="1"/>
    <x v="3"/>
    <n v="1"/>
    <n v="333"/>
    <n v="72.34"/>
  </r>
  <r>
    <x v="47"/>
    <x v="4"/>
    <x v="1"/>
    <x v="3"/>
    <n v="4"/>
    <n v="2384"/>
    <n v="577.26"/>
  </r>
  <r>
    <x v="48"/>
    <x v="1"/>
    <x v="1"/>
    <x v="3"/>
    <n v="6"/>
    <n v="888"/>
    <n v="210.39"/>
  </r>
  <r>
    <x v="49"/>
    <x v="9"/>
    <x v="2"/>
    <x v="3"/>
    <n v="5"/>
    <n v="3280"/>
    <n v="954.17"/>
  </r>
  <r>
    <x v="50"/>
    <x v="1"/>
    <x v="1"/>
    <x v="2"/>
    <n v="7"/>
    <n v="1239"/>
    <n v="177.39"/>
  </r>
  <r>
    <x v="51"/>
    <x v="4"/>
    <x v="1"/>
    <x v="1"/>
    <n v="8"/>
    <n v="5880"/>
    <n v="436.85"/>
  </r>
  <r>
    <x v="52"/>
    <x v="7"/>
    <x v="2"/>
    <x v="3"/>
    <n v="2"/>
    <n v="1668"/>
    <n v="437.3"/>
  </r>
  <r>
    <x v="53"/>
    <x v="0"/>
    <x v="0"/>
    <x v="3"/>
    <n v="7"/>
    <n v="4109"/>
    <n v="1037.6400000000001"/>
  </r>
  <r>
    <x v="54"/>
    <x v="5"/>
    <x v="2"/>
    <x v="3"/>
    <n v="7"/>
    <n v="595"/>
    <n v="148.5"/>
  </r>
  <r>
    <x v="55"/>
    <x v="4"/>
    <x v="1"/>
    <x v="1"/>
    <n v="7"/>
    <n v="8155"/>
    <n v="1587.91"/>
  </r>
  <r>
    <x v="56"/>
    <x v="6"/>
    <x v="1"/>
    <x v="2"/>
    <n v="3"/>
    <n v="1872"/>
    <n v="553.1"/>
  </r>
  <r>
    <x v="57"/>
    <x v="5"/>
    <x v="2"/>
    <x v="1"/>
    <n v="6"/>
    <n v="2124"/>
    <n v="126.03"/>
  </r>
  <r>
    <x v="58"/>
    <x v="6"/>
    <x v="1"/>
    <x v="3"/>
    <n v="5"/>
    <n v="5210"/>
    <n v="1338.8"/>
  </r>
  <r>
    <x v="59"/>
    <x v="1"/>
    <x v="1"/>
    <x v="2"/>
    <n v="7"/>
    <n v="5761"/>
    <n v="362.48"/>
  </r>
  <r>
    <x v="60"/>
    <x v="4"/>
    <x v="1"/>
    <x v="2"/>
    <n v="7"/>
    <n v="6895"/>
    <n v="1596.35"/>
  </r>
  <r>
    <x v="61"/>
    <x v="5"/>
    <x v="2"/>
    <x v="1"/>
    <n v="3"/>
    <n v="2118"/>
    <n v="317.08"/>
  </r>
  <r>
    <x v="62"/>
    <x v="5"/>
    <x v="2"/>
    <x v="0"/>
    <n v="5"/>
    <n v="830"/>
    <n v="58.28"/>
  </r>
  <r>
    <x v="63"/>
    <x v="5"/>
    <x v="2"/>
    <x v="0"/>
    <n v="1"/>
    <n v="851"/>
    <n v="93.56"/>
  </r>
  <r>
    <x v="64"/>
    <x v="2"/>
    <x v="2"/>
    <x v="1"/>
    <n v="5"/>
    <n v="4730"/>
    <n v="1365.63"/>
  </r>
  <r>
    <x v="65"/>
    <x v="1"/>
    <x v="1"/>
    <x v="3"/>
    <n v="6"/>
    <n v="5460"/>
    <n v="845.75"/>
  </r>
  <r>
    <x v="66"/>
    <x v="4"/>
    <x v="1"/>
    <x v="1"/>
    <n v="5"/>
    <n v="5795"/>
    <n v="310.60000000000002"/>
  </r>
  <r>
    <x v="67"/>
    <x v="9"/>
    <x v="2"/>
    <x v="2"/>
    <n v="4"/>
    <n v="2008"/>
    <n v="338.44"/>
  </r>
  <r>
    <x v="68"/>
    <x v="1"/>
    <x v="1"/>
    <x v="2"/>
    <n v="7"/>
    <n v="2842"/>
    <n v="425.24"/>
  </r>
  <r>
    <x v="69"/>
    <x v="1"/>
    <x v="1"/>
    <x v="1"/>
    <n v="4"/>
    <n v="3404"/>
    <n v="392.22"/>
  </r>
  <r>
    <x v="70"/>
    <x v="5"/>
    <x v="2"/>
    <x v="3"/>
    <n v="1"/>
    <n v="1065"/>
    <n v="228.63"/>
  </r>
  <r>
    <x v="71"/>
    <x v="2"/>
    <x v="2"/>
    <x v="3"/>
    <n v="7"/>
    <n v="2149"/>
    <n v="121.69"/>
  </r>
  <r>
    <x v="72"/>
    <x v="8"/>
    <x v="1"/>
    <x v="1"/>
    <n v="8"/>
    <n v="5912"/>
    <n v="1143.04"/>
  </r>
  <r>
    <x v="73"/>
    <x v="1"/>
    <x v="1"/>
    <x v="3"/>
    <n v="3"/>
    <n v="3348"/>
    <n v="331.28"/>
  </r>
  <r>
    <x v="74"/>
    <x v="7"/>
    <x v="2"/>
    <x v="2"/>
    <n v="3"/>
    <n v="2409"/>
    <n v="531.79"/>
  </r>
  <r>
    <x v="75"/>
    <x v="2"/>
    <x v="2"/>
    <x v="0"/>
    <n v="2"/>
    <n v="328"/>
    <n v="39.51"/>
  </r>
  <r>
    <x v="76"/>
    <x v="7"/>
    <x v="2"/>
    <x v="3"/>
    <n v="8"/>
    <n v="6224"/>
    <n v="1561.42"/>
  </r>
  <r>
    <x v="77"/>
    <x v="5"/>
    <x v="2"/>
    <x v="0"/>
    <n v="5"/>
    <n v="2530"/>
    <n v="486.09"/>
  </r>
  <r>
    <x v="78"/>
    <x v="4"/>
    <x v="1"/>
    <x v="3"/>
    <n v="4"/>
    <n v="4108"/>
    <n v="462.17"/>
  </r>
  <r>
    <x v="79"/>
    <x v="0"/>
    <x v="0"/>
    <x v="2"/>
    <n v="5"/>
    <n v="1640"/>
    <n v="391.36"/>
  </r>
  <r>
    <x v="80"/>
    <x v="9"/>
    <x v="2"/>
    <x v="2"/>
    <n v="1"/>
    <n v="111"/>
    <n v="19.329999999999998"/>
  </r>
  <r>
    <x v="81"/>
    <x v="4"/>
    <x v="1"/>
    <x v="0"/>
    <n v="1"/>
    <n v="445"/>
    <n v="128.88999999999999"/>
  </r>
  <r>
    <x v="82"/>
    <x v="0"/>
    <x v="0"/>
    <x v="0"/>
    <n v="4"/>
    <n v="3600"/>
    <n v="623.72"/>
  </r>
  <r>
    <x v="83"/>
    <x v="1"/>
    <x v="1"/>
    <x v="0"/>
    <n v="3"/>
    <n v="1335"/>
    <n v="176.44"/>
  </r>
  <r>
    <x v="84"/>
    <x v="8"/>
    <x v="1"/>
    <x v="2"/>
    <n v="5"/>
    <n v="3090"/>
    <n v="242.15"/>
  </r>
  <r>
    <x v="85"/>
    <x v="0"/>
    <x v="0"/>
    <x v="1"/>
    <n v="5"/>
    <n v="3910"/>
    <n v="538.52"/>
  </r>
  <r>
    <x v="20"/>
    <x v="3"/>
    <x v="2"/>
    <x v="2"/>
    <n v="1"/>
    <n v="219"/>
    <n v="32.67"/>
  </r>
  <r>
    <x v="86"/>
    <x v="7"/>
    <x v="2"/>
    <x v="3"/>
    <n v="5"/>
    <n v="390"/>
    <n v="27.77"/>
  </r>
  <r>
    <x v="87"/>
    <x v="9"/>
    <x v="2"/>
    <x v="0"/>
    <n v="6"/>
    <n v="3294"/>
    <n v="359.61"/>
  </r>
  <r>
    <x v="88"/>
    <x v="8"/>
    <x v="1"/>
    <x v="3"/>
    <n v="4"/>
    <n v="4572"/>
    <n v="1038.05"/>
  </r>
  <r>
    <x v="89"/>
    <x v="6"/>
    <x v="1"/>
    <x v="2"/>
    <n v="7"/>
    <n v="980"/>
    <n v="109.94"/>
  </r>
  <r>
    <x v="90"/>
    <x v="4"/>
    <x v="1"/>
    <x v="0"/>
    <n v="2"/>
    <n v="2262"/>
    <n v="532.12"/>
  </r>
  <r>
    <x v="91"/>
    <x v="3"/>
    <x v="2"/>
    <x v="2"/>
    <n v="7"/>
    <n v="7518"/>
    <n v="1655.91"/>
  </r>
  <r>
    <x v="92"/>
    <x v="3"/>
    <x v="2"/>
    <x v="2"/>
    <n v="1"/>
    <n v="873"/>
    <n v="158.97"/>
  </r>
  <r>
    <x v="93"/>
    <x v="1"/>
    <x v="1"/>
    <x v="0"/>
    <n v="6"/>
    <n v="1512"/>
    <n v="423.03"/>
  </r>
  <r>
    <x v="94"/>
    <x v="9"/>
    <x v="2"/>
    <x v="3"/>
    <n v="1"/>
    <n v="705"/>
    <n v="165.16"/>
  </r>
  <r>
    <x v="95"/>
    <x v="5"/>
    <x v="2"/>
    <x v="0"/>
    <n v="8"/>
    <n v="3256"/>
    <n v="533.70000000000005"/>
  </r>
  <r>
    <x v="96"/>
    <x v="2"/>
    <x v="2"/>
    <x v="3"/>
    <n v="4"/>
    <n v="556"/>
    <n v="81.77"/>
  </r>
  <r>
    <x v="97"/>
    <x v="1"/>
    <x v="1"/>
    <x v="1"/>
    <n v="9"/>
    <n v="7101"/>
    <n v="2105.8200000000002"/>
  </r>
  <r>
    <x v="98"/>
    <x v="9"/>
    <x v="2"/>
    <x v="3"/>
    <n v="9"/>
    <n v="8802"/>
    <n v="1344.96"/>
  </r>
  <r>
    <x v="99"/>
    <x v="4"/>
    <x v="1"/>
    <x v="2"/>
    <n v="6"/>
    <n v="5592"/>
    <n v="1294.1600000000001"/>
  </r>
  <r>
    <x v="100"/>
    <x v="2"/>
    <x v="2"/>
    <x v="0"/>
    <n v="2"/>
    <n v="1852"/>
    <n v="168.92"/>
  </r>
  <r>
    <x v="101"/>
    <x v="6"/>
    <x v="1"/>
    <x v="1"/>
    <n v="1"/>
    <n v="195"/>
    <n v="57.88"/>
  </r>
  <r>
    <x v="102"/>
    <x v="1"/>
    <x v="1"/>
    <x v="1"/>
    <n v="9"/>
    <n v="7884"/>
    <n v="2054.02"/>
  </r>
  <r>
    <x v="103"/>
    <x v="9"/>
    <x v="2"/>
    <x v="1"/>
    <n v="5"/>
    <n v="4360"/>
    <n v="1160.55"/>
  </r>
  <r>
    <x v="104"/>
    <x v="1"/>
    <x v="1"/>
    <x v="0"/>
    <n v="6"/>
    <n v="4920"/>
    <n v="929.18"/>
  </r>
  <r>
    <x v="105"/>
    <x v="1"/>
    <x v="1"/>
    <x v="1"/>
    <n v="3"/>
    <n v="3474"/>
    <n v="565"/>
  </r>
  <r>
    <x v="106"/>
    <x v="8"/>
    <x v="1"/>
    <x v="3"/>
    <n v="1"/>
    <n v="930"/>
    <n v="222.5"/>
  </r>
  <r>
    <x v="107"/>
    <x v="2"/>
    <x v="2"/>
    <x v="2"/>
    <n v="7"/>
    <n v="1421"/>
    <n v="248.02"/>
  </r>
  <r>
    <x v="108"/>
    <x v="4"/>
    <x v="1"/>
    <x v="0"/>
    <n v="2"/>
    <n v="634"/>
    <n v="161.1"/>
  </r>
  <r>
    <x v="109"/>
    <x v="3"/>
    <x v="2"/>
    <x v="1"/>
    <n v="1"/>
    <n v="673"/>
    <n v="114.42"/>
  </r>
  <r>
    <x v="110"/>
    <x v="1"/>
    <x v="1"/>
    <x v="2"/>
    <n v="5"/>
    <n v="3135"/>
    <n v="787.7"/>
  </r>
  <r>
    <x v="111"/>
    <x v="7"/>
    <x v="2"/>
    <x v="1"/>
    <n v="6"/>
    <n v="882"/>
    <n v="184.48"/>
  </r>
  <r>
    <x v="112"/>
    <x v="7"/>
    <x v="2"/>
    <x v="1"/>
    <n v="4"/>
    <n v="1192"/>
    <n v="212.77"/>
  </r>
  <r>
    <x v="113"/>
    <x v="0"/>
    <x v="0"/>
    <x v="2"/>
    <n v="3"/>
    <n v="390"/>
    <n v="112.08"/>
  </r>
  <r>
    <x v="112"/>
    <x v="2"/>
    <x v="2"/>
    <x v="0"/>
    <n v="1"/>
    <n v="834"/>
    <n v="95.54"/>
  </r>
  <r>
    <x v="114"/>
    <x v="7"/>
    <x v="2"/>
    <x v="1"/>
    <n v="6"/>
    <n v="612"/>
    <n v="83.75"/>
  </r>
  <r>
    <x v="113"/>
    <x v="4"/>
    <x v="1"/>
    <x v="3"/>
    <n v="9"/>
    <n v="8073"/>
    <n v="710.23"/>
  </r>
  <r>
    <x v="115"/>
    <x v="8"/>
    <x v="1"/>
    <x v="0"/>
    <n v="8"/>
    <n v="2640"/>
    <n v="723.88"/>
  </r>
  <r>
    <x v="23"/>
    <x v="7"/>
    <x v="2"/>
    <x v="0"/>
    <n v="3"/>
    <n v="3234"/>
    <n v="440.7"/>
  </r>
  <r>
    <x v="116"/>
    <x v="6"/>
    <x v="1"/>
    <x v="3"/>
    <n v="5"/>
    <n v="4435"/>
    <n v="355.51"/>
  </r>
  <r>
    <x v="117"/>
    <x v="5"/>
    <x v="2"/>
    <x v="0"/>
    <n v="2"/>
    <n v="2302"/>
    <n v="305.07"/>
  </r>
  <r>
    <x v="118"/>
    <x v="3"/>
    <x v="2"/>
    <x v="1"/>
    <n v="6"/>
    <n v="1728"/>
    <n v="307.44"/>
  </r>
  <r>
    <x v="119"/>
    <x v="9"/>
    <x v="2"/>
    <x v="1"/>
    <n v="4"/>
    <n v="228"/>
    <n v="54.05"/>
  </r>
  <r>
    <x v="120"/>
    <x v="2"/>
    <x v="2"/>
    <x v="3"/>
    <n v="6"/>
    <n v="3450"/>
    <n v="705.74"/>
  </r>
  <r>
    <x v="109"/>
    <x v="7"/>
    <x v="2"/>
    <x v="2"/>
    <n v="8"/>
    <n v="7456"/>
    <n v="1702.48"/>
  </r>
  <r>
    <x v="121"/>
    <x v="7"/>
    <x v="2"/>
    <x v="3"/>
    <n v="6"/>
    <n v="4728"/>
    <n v="705.85"/>
  </r>
  <r>
    <x v="122"/>
    <x v="5"/>
    <x v="2"/>
    <x v="0"/>
    <n v="7"/>
    <n v="945"/>
    <n v="124.62"/>
  </r>
  <r>
    <x v="123"/>
    <x v="9"/>
    <x v="2"/>
    <x v="0"/>
    <n v="4"/>
    <n v="296"/>
    <n v="65.05"/>
  </r>
  <r>
    <x v="124"/>
    <x v="7"/>
    <x v="2"/>
    <x v="3"/>
    <n v="4"/>
    <n v="640"/>
    <n v="149.88999999999999"/>
  </r>
  <r>
    <x v="125"/>
    <x v="2"/>
    <x v="2"/>
    <x v="0"/>
    <n v="1"/>
    <n v="797"/>
    <n v="65.27"/>
  </r>
  <r>
    <x v="126"/>
    <x v="6"/>
    <x v="1"/>
    <x v="0"/>
    <n v="4"/>
    <n v="1456"/>
    <n v="431.89"/>
  </r>
  <r>
    <x v="127"/>
    <x v="6"/>
    <x v="1"/>
    <x v="2"/>
    <n v="6"/>
    <n v="4038"/>
    <n v="364.11"/>
  </r>
  <r>
    <x v="128"/>
    <x v="2"/>
    <x v="2"/>
    <x v="3"/>
    <n v="7"/>
    <n v="5656"/>
    <n v="355.81"/>
  </r>
  <r>
    <x v="129"/>
    <x v="1"/>
    <x v="1"/>
    <x v="3"/>
    <n v="4"/>
    <n v="3876"/>
    <n v="302.37"/>
  </r>
  <r>
    <x v="130"/>
    <x v="8"/>
    <x v="1"/>
    <x v="2"/>
    <n v="6"/>
    <n v="1002"/>
    <n v="114.7"/>
  </r>
  <r>
    <x v="131"/>
    <x v="4"/>
    <x v="1"/>
    <x v="1"/>
    <n v="9"/>
    <n v="2187"/>
    <n v="413.76"/>
  </r>
  <r>
    <x v="132"/>
    <x v="1"/>
    <x v="1"/>
    <x v="0"/>
    <n v="6"/>
    <n v="7146"/>
    <n v="1627.42"/>
  </r>
  <r>
    <x v="133"/>
    <x v="8"/>
    <x v="1"/>
    <x v="2"/>
    <n v="1"/>
    <n v="189"/>
    <n v="14.88"/>
  </r>
  <r>
    <x v="134"/>
    <x v="6"/>
    <x v="1"/>
    <x v="1"/>
    <n v="5"/>
    <n v="940"/>
    <n v="266.02"/>
  </r>
  <r>
    <x v="135"/>
    <x v="4"/>
    <x v="1"/>
    <x v="0"/>
    <n v="1"/>
    <n v="951"/>
    <n v="127.58"/>
  </r>
  <r>
    <x v="54"/>
    <x v="0"/>
    <x v="0"/>
    <x v="1"/>
    <n v="2"/>
    <n v="124"/>
    <n v="27.42"/>
  </r>
  <r>
    <x v="136"/>
    <x v="1"/>
    <x v="1"/>
    <x v="3"/>
    <n v="9"/>
    <n v="7506"/>
    <n v="594.28"/>
  </r>
  <r>
    <x v="137"/>
    <x v="6"/>
    <x v="1"/>
    <x v="3"/>
    <n v="7"/>
    <n v="8176"/>
    <n v="2308.7600000000002"/>
  </r>
  <r>
    <x v="138"/>
    <x v="7"/>
    <x v="2"/>
    <x v="1"/>
    <n v="5"/>
    <n v="2125"/>
    <n v="632.67999999999995"/>
  </r>
  <r>
    <x v="79"/>
    <x v="4"/>
    <x v="1"/>
    <x v="0"/>
    <n v="1"/>
    <n v="967"/>
    <n v="59.98"/>
  </r>
  <r>
    <x v="120"/>
    <x v="4"/>
    <x v="1"/>
    <x v="2"/>
    <n v="5"/>
    <n v="270"/>
    <n v="29.41"/>
  </r>
  <r>
    <x v="139"/>
    <x v="8"/>
    <x v="1"/>
    <x v="3"/>
    <n v="9"/>
    <n v="10035"/>
    <n v="1486.3"/>
  </r>
  <r>
    <x v="140"/>
    <x v="0"/>
    <x v="0"/>
    <x v="0"/>
    <n v="8"/>
    <n v="6792"/>
    <n v="1125.23"/>
  </r>
  <r>
    <x v="141"/>
    <x v="0"/>
    <x v="0"/>
    <x v="1"/>
    <n v="1"/>
    <n v="714"/>
    <n v="99.13"/>
  </r>
  <r>
    <x v="142"/>
    <x v="7"/>
    <x v="2"/>
    <x v="2"/>
    <n v="5"/>
    <n v="765"/>
    <n v="157.63999999999999"/>
  </r>
  <r>
    <x v="143"/>
    <x v="4"/>
    <x v="1"/>
    <x v="1"/>
    <n v="7"/>
    <n v="4221"/>
    <n v="358.02"/>
  </r>
  <r>
    <x v="144"/>
    <x v="9"/>
    <x v="2"/>
    <x v="0"/>
    <n v="4"/>
    <n v="2108"/>
    <n v="576.48"/>
  </r>
  <r>
    <x v="145"/>
    <x v="6"/>
    <x v="1"/>
    <x v="0"/>
    <n v="9"/>
    <n v="10530"/>
    <n v="2387.63"/>
  </r>
  <r>
    <x v="146"/>
    <x v="8"/>
    <x v="1"/>
    <x v="2"/>
    <n v="6"/>
    <n v="3396"/>
    <n v="914.17"/>
  </r>
  <r>
    <x v="147"/>
    <x v="6"/>
    <x v="1"/>
    <x v="0"/>
    <n v="4"/>
    <n v="1060"/>
    <n v="213.05"/>
  </r>
  <r>
    <x v="148"/>
    <x v="2"/>
    <x v="2"/>
    <x v="1"/>
    <n v="5"/>
    <n v="480"/>
    <n v="73.069999999999993"/>
  </r>
  <r>
    <x v="149"/>
    <x v="4"/>
    <x v="1"/>
    <x v="3"/>
    <n v="3"/>
    <n v="2529"/>
    <n v="285.64999999999998"/>
  </r>
  <r>
    <x v="150"/>
    <x v="5"/>
    <x v="2"/>
    <x v="1"/>
    <n v="8"/>
    <n v="4792"/>
    <n v="511.97"/>
  </r>
  <r>
    <x v="49"/>
    <x v="5"/>
    <x v="2"/>
    <x v="1"/>
    <n v="8"/>
    <n v="8056"/>
    <n v="605.79999999999995"/>
  </r>
  <r>
    <x v="151"/>
    <x v="2"/>
    <x v="2"/>
    <x v="0"/>
    <n v="4"/>
    <n v="4228"/>
    <n v="947.76"/>
  </r>
  <r>
    <x v="152"/>
    <x v="2"/>
    <x v="2"/>
    <x v="1"/>
    <n v="1"/>
    <n v="653"/>
    <n v="93.78"/>
  </r>
  <r>
    <x v="153"/>
    <x v="2"/>
    <x v="2"/>
    <x v="0"/>
    <n v="9"/>
    <n v="7452"/>
    <n v="1212.51"/>
  </r>
  <r>
    <x v="154"/>
    <x v="1"/>
    <x v="1"/>
    <x v="1"/>
    <n v="4"/>
    <n v="4128"/>
    <n v="1156.71"/>
  </r>
  <r>
    <x v="155"/>
    <x v="2"/>
    <x v="2"/>
    <x v="3"/>
    <n v="5"/>
    <n v="5090"/>
    <n v="1201.56"/>
  </r>
  <r>
    <x v="156"/>
    <x v="3"/>
    <x v="2"/>
    <x v="0"/>
    <n v="5"/>
    <n v="4930"/>
    <n v="387.33"/>
  </r>
  <r>
    <x v="157"/>
    <x v="5"/>
    <x v="2"/>
    <x v="2"/>
    <n v="6"/>
    <n v="2610"/>
    <n v="434.37"/>
  </r>
  <r>
    <x v="25"/>
    <x v="9"/>
    <x v="2"/>
    <x v="0"/>
    <n v="3"/>
    <n v="2139"/>
    <n v="415.84"/>
  </r>
  <r>
    <x v="158"/>
    <x v="2"/>
    <x v="2"/>
    <x v="2"/>
    <n v="1"/>
    <n v="226"/>
    <n v="55.4"/>
  </r>
  <r>
    <x v="159"/>
    <x v="5"/>
    <x v="2"/>
    <x v="3"/>
    <n v="2"/>
    <n v="2244"/>
    <n v="212.08"/>
  </r>
  <r>
    <x v="160"/>
    <x v="6"/>
    <x v="1"/>
    <x v="1"/>
    <n v="6"/>
    <n v="3150"/>
    <n v="578.87"/>
  </r>
  <r>
    <x v="161"/>
    <x v="9"/>
    <x v="2"/>
    <x v="2"/>
    <n v="7"/>
    <n v="3388"/>
    <n v="347.19"/>
  </r>
  <r>
    <x v="162"/>
    <x v="9"/>
    <x v="2"/>
    <x v="1"/>
    <n v="8"/>
    <n v="8736"/>
    <n v="580.30999999999995"/>
  </r>
  <r>
    <x v="163"/>
    <x v="7"/>
    <x v="2"/>
    <x v="2"/>
    <n v="2"/>
    <n v="1102"/>
    <n v="176.53"/>
  </r>
  <r>
    <x v="164"/>
    <x v="6"/>
    <x v="1"/>
    <x v="1"/>
    <n v="3"/>
    <n v="2640"/>
    <n v="199.97"/>
  </r>
  <r>
    <x v="165"/>
    <x v="0"/>
    <x v="0"/>
    <x v="3"/>
    <n v="3"/>
    <n v="2547"/>
    <n v="300.74"/>
  </r>
  <r>
    <x v="166"/>
    <x v="9"/>
    <x v="2"/>
    <x v="0"/>
    <n v="7"/>
    <n v="728"/>
    <n v="64.819999999999993"/>
  </r>
  <r>
    <x v="167"/>
    <x v="3"/>
    <x v="2"/>
    <x v="2"/>
    <n v="7"/>
    <n v="3444"/>
    <n v="607.44000000000005"/>
  </r>
  <r>
    <x v="141"/>
    <x v="3"/>
    <x v="2"/>
    <x v="3"/>
    <n v="5"/>
    <n v="3140"/>
    <n v="853.66"/>
  </r>
  <r>
    <x v="153"/>
    <x v="7"/>
    <x v="2"/>
    <x v="1"/>
    <n v="3"/>
    <n v="435"/>
    <n v="129.27000000000001"/>
  </r>
  <r>
    <x v="168"/>
    <x v="8"/>
    <x v="1"/>
    <x v="1"/>
    <n v="4"/>
    <n v="856"/>
    <n v="72.989999999999995"/>
  </r>
  <r>
    <x v="169"/>
    <x v="0"/>
    <x v="0"/>
    <x v="0"/>
    <n v="2"/>
    <n v="112"/>
    <n v="23.33"/>
  </r>
  <r>
    <x v="170"/>
    <x v="4"/>
    <x v="1"/>
    <x v="0"/>
    <n v="3"/>
    <n v="2247"/>
    <n v="507.79"/>
  </r>
  <r>
    <x v="171"/>
    <x v="8"/>
    <x v="1"/>
    <x v="3"/>
    <n v="2"/>
    <n v="1512"/>
    <n v="298.73"/>
  </r>
  <r>
    <x v="172"/>
    <x v="1"/>
    <x v="1"/>
    <x v="2"/>
    <n v="5"/>
    <n v="4915"/>
    <n v="1196.5999999999999"/>
  </r>
  <r>
    <x v="173"/>
    <x v="1"/>
    <x v="1"/>
    <x v="2"/>
    <n v="3"/>
    <n v="2709"/>
    <n v="663.54"/>
  </r>
  <r>
    <x v="174"/>
    <x v="2"/>
    <x v="2"/>
    <x v="0"/>
    <n v="7"/>
    <n v="1239"/>
    <n v="118.36"/>
  </r>
  <r>
    <x v="175"/>
    <x v="2"/>
    <x v="2"/>
    <x v="3"/>
    <n v="2"/>
    <n v="572"/>
    <n v="86.16"/>
  </r>
  <r>
    <x v="176"/>
    <x v="5"/>
    <x v="2"/>
    <x v="0"/>
    <n v="2"/>
    <n v="1708"/>
    <n v="93.25"/>
  </r>
  <r>
    <x v="177"/>
    <x v="5"/>
    <x v="2"/>
    <x v="0"/>
    <n v="4"/>
    <n v="360"/>
    <n v="42.66"/>
  </r>
  <r>
    <x v="178"/>
    <x v="3"/>
    <x v="2"/>
    <x v="0"/>
    <n v="6"/>
    <n v="3822"/>
    <n v="388.34"/>
  </r>
  <r>
    <x v="179"/>
    <x v="3"/>
    <x v="2"/>
    <x v="0"/>
    <n v="6"/>
    <n v="4680"/>
    <n v="932.97"/>
  </r>
  <r>
    <x v="180"/>
    <x v="3"/>
    <x v="2"/>
    <x v="0"/>
    <n v="5"/>
    <n v="2520"/>
    <n v="487.18"/>
  </r>
  <r>
    <x v="181"/>
    <x v="5"/>
    <x v="2"/>
    <x v="0"/>
    <n v="2"/>
    <n v="2138"/>
    <n v="619.29"/>
  </r>
  <r>
    <x v="182"/>
    <x v="8"/>
    <x v="1"/>
    <x v="3"/>
    <n v="3"/>
    <n v="2529"/>
    <n v="169.6"/>
  </r>
  <r>
    <x v="183"/>
    <x v="8"/>
    <x v="1"/>
    <x v="1"/>
    <n v="1"/>
    <n v="236"/>
    <n v="29.33"/>
  </r>
  <r>
    <x v="184"/>
    <x v="2"/>
    <x v="2"/>
    <x v="3"/>
    <n v="6"/>
    <n v="2730"/>
    <n v="636.48"/>
  </r>
  <r>
    <x v="185"/>
    <x v="4"/>
    <x v="1"/>
    <x v="0"/>
    <n v="3"/>
    <n v="3021"/>
    <n v="872.49"/>
  </r>
  <r>
    <x v="177"/>
    <x v="5"/>
    <x v="2"/>
    <x v="0"/>
    <n v="2"/>
    <n v="244"/>
    <n v="16.78"/>
  </r>
  <r>
    <x v="2"/>
    <x v="3"/>
    <x v="2"/>
    <x v="2"/>
    <n v="8"/>
    <n v="728"/>
    <n v="120.06"/>
  </r>
  <r>
    <x v="186"/>
    <x v="1"/>
    <x v="1"/>
    <x v="0"/>
    <n v="3"/>
    <n v="453"/>
    <n v="89.49"/>
  </r>
  <r>
    <x v="187"/>
    <x v="9"/>
    <x v="2"/>
    <x v="2"/>
    <n v="1"/>
    <n v="379"/>
    <n v="84.38"/>
  </r>
  <r>
    <x v="188"/>
    <x v="2"/>
    <x v="2"/>
    <x v="3"/>
    <n v="3"/>
    <n v="2130"/>
    <n v="510.69"/>
  </r>
  <r>
    <x v="34"/>
    <x v="6"/>
    <x v="1"/>
    <x v="0"/>
    <n v="8"/>
    <n v="4120"/>
    <n v="710.11"/>
  </r>
  <r>
    <x v="189"/>
    <x v="5"/>
    <x v="2"/>
    <x v="2"/>
    <n v="7"/>
    <n v="3150"/>
    <n v="299.7"/>
  </r>
  <r>
    <x v="190"/>
    <x v="5"/>
    <x v="2"/>
    <x v="1"/>
    <n v="7"/>
    <n v="2688"/>
    <n v="603.07000000000005"/>
  </r>
  <r>
    <x v="191"/>
    <x v="2"/>
    <x v="2"/>
    <x v="1"/>
    <n v="2"/>
    <n v="1752"/>
    <n v="501.19"/>
  </r>
  <r>
    <x v="192"/>
    <x v="8"/>
    <x v="1"/>
    <x v="0"/>
    <n v="7"/>
    <n v="7308"/>
    <n v="948.4"/>
  </r>
  <r>
    <x v="2"/>
    <x v="2"/>
    <x v="2"/>
    <x v="0"/>
    <n v="3"/>
    <n v="2007"/>
    <n v="160.84"/>
  </r>
  <r>
    <x v="193"/>
    <x v="2"/>
    <x v="2"/>
    <x v="3"/>
    <n v="7"/>
    <n v="7224"/>
    <n v="479.23"/>
  </r>
  <r>
    <x v="194"/>
    <x v="6"/>
    <x v="1"/>
    <x v="2"/>
    <n v="9"/>
    <n v="6939"/>
    <n v="1249.31"/>
  </r>
  <r>
    <x v="195"/>
    <x v="7"/>
    <x v="2"/>
    <x v="1"/>
    <n v="7"/>
    <n v="5516"/>
    <n v="1475.67"/>
  </r>
  <r>
    <x v="196"/>
    <x v="0"/>
    <x v="0"/>
    <x v="2"/>
    <n v="2"/>
    <n v="2224"/>
    <n v="116.47"/>
  </r>
  <r>
    <x v="197"/>
    <x v="9"/>
    <x v="2"/>
    <x v="2"/>
    <n v="5"/>
    <n v="3985"/>
    <n v="824.4"/>
  </r>
  <r>
    <x v="198"/>
    <x v="3"/>
    <x v="2"/>
    <x v="0"/>
    <n v="7"/>
    <n v="2723"/>
    <n v="638.26"/>
  </r>
  <r>
    <x v="199"/>
    <x v="2"/>
    <x v="2"/>
    <x v="0"/>
    <n v="2"/>
    <n v="746"/>
    <n v="170.75"/>
  </r>
  <r>
    <x v="200"/>
    <x v="9"/>
    <x v="2"/>
    <x v="3"/>
    <n v="5"/>
    <n v="3170"/>
    <n v="245.25"/>
  </r>
  <r>
    <x v="25"/>
    <x v="5"/>
    <x v="2"/>
    <x v="1"/>
    <n v="5"/>
    <n v="550"/>
    <n v="63.11"/>
  </r>
  <r>
    <x v="201"/>
    <x v="2"/>
    <x v="2"/>
    <x v="0"/>
    <n v="8"/>
    <n v="480"/>
    <n v="132.44999999999999"/>
  </r>
  <r>
    <x v="202"/>
    <x v="0"/>
    <x v="0"/>
    <x v="1"/>
    <n v="4"/>
    <n v="3284"/>
    <n v="354.4"/>
  </r>
  <r>
    <x v="203"/>
    <x v="5"/>
    <x v="2"/>
    <x v="2"/>
    <n v="2"/>
    <n v="1748"/>
    <n v="183.75"/>
  </r>
  <r>
    <x v="159"/>
    <x v="4"/>
    <x v="1"/>
    <x v="0"/>
    <n v="8"/>
    <n v="824"/>
    <n v="240.84"/>
  </r>
  <r>
    <x v="204"/>
    <x v="4"/>
    <x v="1"/>
    <x v="0"/>
    <n v="4"/>
    <n v="1872"/>
    <n v="448.46"/>
  </r>
  <r>
    <x v="205"/>
    <x v="2"/>
    <x v="2"/>
    <x v="3"/>
    <n v="3"/>
    <n v="627"/>
    <n v="103.98"/>
  </r>
  <r>
    <x v="27"/>
    <x v="3"/>
    <x v="2"/>
    <x v="1"/>
    <n v="9"/>
    <n v="5661"/>
    <n v="1104.02"/>
  </r>
  <r>
    <x v="206"/>
    <x v="3"/>
    <x v="2"/>
    <x v="0"/>
    <n v="3"/>
    <n v="2910"/>
    <n v="765.47"/>
  </r>
  <r>
    <x v="207"/>
    <x v="2"/>
    <x v="2"/>
    <x v="2"/>
    <n v="9"/>
    <n v="9036"/>
    <n v="1087.46"/>
  </r>
  <r>
    <x v="208"/>
    <x v="2"/>
    <x v="2"/>
    <x v="3"/>
    <n v="5"/>
    <n v="4815"/>
    <n v="338.31"/>
  </r>
  <r>
    <x v="209"/>
    <x v="1"/>
    <x v="1"/>
    <x v="2"/>
    <n v="1"/>
    <n v="1187"/>
    <n v="206.28"/>
  </r>
  <r>
    <x v="210"/>
    <x v="4"/>
    <x v="1"/>
    <x v="1"/>
    <n v="3"/>
    <n v="3339"/>
    <n v="732.92"/>
  </r>
  <r>
    <x v="205"/>
    <x v="2"/>
    <x v="2"/>
    <x v="1"/>
    <n v="1"/>
    <n v="620"/>
    <n v="165.43"/>
  </r>
  <r>
    <x v="140"/>
    <x v="3"/>
    <x v="2"/>
    <x v="3"/>
    <n v="5"/>
    <n v="2025"/>
    <n v="414.42"/>
  </r>
  <r>
    <x v="211"/>
    <x v="0"/>
    <x v="0"/>
    <x v="1"/>
    <n v="5"/>
    <n v="3030"/>
    <n v="811.92"/>
  </r>
  <r>
    <x v="212"/>
    <x v="5"/>
    <x v="2"/>
    <x v="0"/>
    <n v="5"/>
    <n v="655"/>
    <n v="166.69"/>
  </r>
  <r>
    <x v="47"/>
    <x v="0"/>
    <x v="0"/>
    <x v="3"/>
    <n v="2"/>
    <n v="2238"/>
    <n v="294.54000000000002"/>
  </r>
  <r>
    <x v="213"/>
    <x v="7"/>
    <x v="2"/>
    <x v="2"/>
    <n v="8"/>
    <n v="3312"/>
    <n v="811.31"/>
  </r>
  <r>
    <x v="214"/>
    <x v="0"/>
    <x v="0"/>
    <x v="1"/>
    <n v="9"/>
    <n v="9387"/>
    <n v="1271.6400000000001"/>
  </r>
  <r>
    <x v="215"/>
    <x v="1"/>
    <x v="1"/>
    <x v="3"/>
    <n v="6"/>
    <n v="5790"/>
    <n v="1285.21"/>
  </r>
  <r>
    <x v="216"/>
    <x v="9"/>
    <x v="2"/>
    <x v="2"/>
    <n v="6"/>
    <n v="2700"/>
    <n v="527.97"/>
  </r>
  <r>
    <x v="64"/>
    <x v="5"/>
    <x v="2"/>
    <x v="1"/>
    <n v="8"/>
    <n v="2072"/>
    <n v="555.05999999999995"/>
  </r>
  <r>
    <x v="217"/>
    <x v="8"/>
    <x v="1"/>
    <x v="0"/>
    <n v="3"/>
    <n v="2991"/>
    <n v="716.54"/>
  </r>
  <r>
    <x v="218"/>
    <x v="9"/>
    <x v="2"/>
    <x v="1"/>
    <n v="6"/>
    <n v="5568"/>
    <n v="958.59"/>
  </r>
  <r>
    <x v="73"/>
    <x v="5"/>
    <x v="2"/>
    <x v="0"/>
    <n v="7"/>
    <n v="5509"/>
    <n v="1648.74"/>
  </r>
  <r>
    <x v="59"/>
    <x v="0"/>
    <x v="0"/>
    <x v="3"/>
    <n v="7"/>
    <n v="5922"/>
    <n v="1323.1"/>
  </r>
  <r>
    <x v="74"/>
    <x v="7"/>
    <x v="2"/>
    <x v="2"/>
    <n v="4"/>
    <n v="4380"/>
    <n v="362.81"/>
  </r>
  <r>
    <x v="219"/>
    <x v="2"/>
    <x v="2"/>
    <x v="2"/>
    <n v="5"/>
    <n v="1760"/>
    <n v="272.68"/>
  </r>
  <r>
    <x v="220"/>
    <x v="4"/>
    <x v="1"/>
    <x v="0"/>
    <n v="9"/>
    <n v="5571"/>
    <n v="1523.81"/>
  </r>
  <r>
    <x v="221"/>
    <x v="2"/>
    <x v="2"/>
    <x v="2"/>
    <n v="2"/>
    <n v="1082"/>
    <n v="182.1"/>
  </r>
  <r>
    <x v="222"/>
    <x v="3"/>
    <x v="2"/>
    <x v="1"/>
    <n v="1"/>
    <n v="569"/>
    <n v="138.11000000000001"/>
  </r>
  <r>
    <x v="223"/>
    <x v="1"/>
    <x v="1"/>
    <x v="0"/>
    <n v="8"/>
    <n v="3416"/>
    <n v="697.42"/>
  </r>
  <r>
    <x v="224"/>
    <x v="0"/>
    <x v="0"/>
    <x v="3"/>
    <n v="1"/>
    <n v="570"/>
    <n v="57.07"/>
  </r>
  <r>
    <x v="225"/>
    <x v="6"/>
    <x v="1"/>
    <x v="1"/>
    <n v="6"/>
    <n v="3300"/>
    <n v="386.92"/>
  </r>
  <r>
    <x v="41"/>
    <x v="9"/>
    <x v="2"/>
    <x v="2"/>
    <n v="8"/>
    <n v="2584"/>
    <n v="568.77"/>
  </r>
  <r>
    <x v="226"/>
    <x v="6"/>
    <x v="1"/>
    <x v="2"/>
    <n v="9"/>
    <n v="7650"/>
    <n v="2204.44"/>
  </r>
  <r>
    <x v="227"/>
    <x v="4"/>
    <x v="1"/>
    <x v="3"/>
    <n v="8"/>
    <n v="3600"/>
    <n v="272.51"/>
  </r>
  <r>
    <x v="228"/>
    <x v="6"/>
    <x v="1"/>
    <x v="3"/>
    <n v="6"/>
    <n v="846"/>
    <n v="190.87"/>
  </r>
  <r>
    <x v="212"/>
    <x v="7"/>
    <x v="2"/>
    <x v="3"/>
    <n v="1"/>
    <n v="51"/>
    <n v="9.36"/>
  </r>
  <r>
    <x v="229"/>
    <x v="5"/>
    <x v="2"/>
    <x v="2"/>
    <n v="6"/>
    <n v="7056"/>
    <n v="586.91"/>
  </r>
  <r>
    <x v="230"/>
    <x v="5"/>
    <x v="2"/>
    <x v="3"/>
    <n v="2"/>
    <n v="384"/>
    <n v="38.409999999999997"/>
  </r>
  <r>
    <x v="231"/>
    <x v="9"/>
    <x v="2"/>
    <x v="2"/>
    <n v="8"/>
    <n v="2928"/>
    <n v="663.54"/>
  </r>
  <r>
    <x v="232"/>
    <x v="3"/>
    <x v="2"/>
    <x v="3"/>
    <n v="7"/>
    <n v="1904"/>
    <n v="352.86"/>
  </r>
  <r>
    <x v="233"/>
    <x v="2"/>
    <x v="2"/>
    <x v="1"/>
    <n v="2"/>
    <n v="2314"/>
    <n v="312.07"/>
  </r>
  <r>
    <x v="234"/>
    <x v="0"/>
    <x v="0"/>
    <x v="2"/>
    <n v="4"/>
    <n v="1028"/>
    <n v="192.13"/>
  </r>
  <r>
    <x v="235"/>
    <x v="4"/>
    <x v="1"/>
    <x v="2"/>
    <n v="9"/>
    <n v="8307"/>
    <n v="1326.23"/>
  </r>
  <r>
    <x v="44"/>
    <x v="0"/>
    <x v="0"/>
    <x v="3"/>
    <n v="9"/>
    <n v="1539"/>
    <n v="203.54"/>
  </r>
  <r>
    <x v="236"/>
    <x v="2"/>
    <x v="2"/>
    <x v="3"/>
    <n v="7"/>
    <n v="2506"/>
    <n v="537.98"/>
  </r>
  <r>
    <x v="237"/>
    <x v="7"/>
    <x v="2"/>
    <x v="3"/>
    <n v="6"/>
    <n v="5778"/>
    <n v="1232.54"/>
  </r>
  <r>
    <x v="238"/>
    <x v="2"/>
    <x v="2"/>
    <x v="1"/>
    <n v="9"/>
    <n v="10188"/>
    <n v="2165.7800000000002"/>
  </r>
  <r>
    <x v="239"/>
    <x v="6"/>
    <x v="1"/>
    <x v="0"/>
    <n v="1"/>
    <n v="952"/>
    <n v="157.69999999999999"/>
  </r>
  <r>
    <x v="240"/>
    <x v="5"/>
    <x v="2"/>
    <x v="3"/>
    <n v="8"/>
    <n v="3624"/>
    <n v="750.86"/>
  </r>
  <r>
    <x v="144"/>
    <x v="8"/>
    <x v="1"/>
    <x v="2"/>
    <n v="8"/>
    <n v="7968"/>
    <n v="1551.12"/>
  </r>
  <r>
    <x v="241"/>
    <x v="1"/>
    <x v="1"/>
    <x v="2"/>
    <n v="2"/>
    <n v="1254"/>
    <n v="250.09"/>
  </r>
  <r>
    <x v="242"/>
    <x v="0"/>
    <x v="0"/>
    <x v="3"/>
    <n v="3"/>
    <n v="705"/>
    <n v="196.05"/>
  </r>
  <r>
    <x v="243"/>
    <x v="1"/>
    <x v="1"/>
    <x v="3"/>
    <n v="1"/>
    <n v="916"/>
    <n v="223.5"/>
  </r>
  <r>
    <x v="244"/>
    <x v="0"/>
    <x v="0"/>
    <x v="0"/>
    <n v="2"/>
    <n v="848"/>
    <n v="129.96"/>
  </r>
  <r>
    <x v="148"/>
    <x v="6"/>
    <x v="1"/>
    <x v="1"/>
    <n v="8"/>
    <n v="2240"/>
    <n v="313.17"/>
  </r>
  <r>
    <x v="245"/>
    <x v="6"/>
    <x v="1"/>
    <x v="2"/>
    <n v="1"/>
    <n v="940"/>
    <n v="120.35"/>
  </r>
  <r>
    <x v="246"/>
    <x v="4"/>
    <x v="1"/>
    <x v="3"/>
    <n v="5"/>
    <n v="1550"/>
    <n v="203.51"/>
  </r>
  <r>
    <x v="247"/>
    <x v="8"/>
    <x v="1"/>
    <x v="2"/>
    <n v="7"/>
    <n v="2352"/>
    <n v="256.39999999999998"/>
  </r>
  <r>
    <x v="248"/>
    <x v="5"/>
    <x v="2"/>
    <x v="0"/>
    <n v="9"/>
    <n v="1638"/>
    <n v="183.75"/>
  </r>
  <r>
    <x v="249"/>
    <x v="3"/>
    <x v="2"/>
    <x v="0"/>
    <n v="6"/>
    <n v="7164"/>
    <n v="1442.72"/>
  </r>
  <r>
    <x v="250"/>
    <x v="1"/>
    <x v="1"/>
    <x v="1"/>
    <n v="1"/>
    <n v="205"/>
    <n v="54.54"/>
  </r>
  <r>
    <x v="251"/>
    <x v="8"/>
    <x v="1"/>
    <x v="0"/>
    <n v="2"/>
    <n v="766"/>
    <n v="49.23"/>
  </r>
  <r>
    <x v="121"/>
    <x v="8"/>
    <x v="1"/>
    <x v="0"/>
    <n v="1"/>
    <n v="168"/>
    <n v="17.84"/>
  </r>
  <r>
    <x v="252"/>
    <x v="1"/>
    <x v="1"/>
    <x v="2"/>
    <n v="1"/>
    <n v="1058"/>
    <n v="207.55"/>
  </r>
  <r>
    <x v="114"/>
    <x v="8"/>
    <x v="1"/>
    <x v="2"/>
    <n v="5"/>
    <n v="1455"/>
    <n v="423.81"/>
  </r>
  <r>
    <x v="253"/>
    <x v="3"/>
    <x v="2"/>
    <x v="1"/>
    <n v="2"/>
    <n v="2224"/>
    <n v="364.04"/>
  </r>
  <r>
    <x v="254"/>
    <x v="7"/>
    <x v="2"/>
    <x v="3"/>
    <n v="7"/>
    <n v="1400"/>
    <n v="80.489999999999995"/>
  </r>
  <r>
    <x v="255"/>
    <x v="7"/>
    <x v="2"/>
    <x v="1"/>
    <n v="7"/>
    <n v="7567"/>
    <n v="2213.1799999999998"/>
  </r>
  <r>
    <x v="256"/>
    <x v="2"/>
    <x v="2"/>
    <x v="1"/>
    <n v="6"/>
    <n v="3396"/>
    <n v="987.68"/>
  </r>
  <r>
    <x v="138"/>
    <x v="5"/>
    <x v="2"/>
    <x v="1"/>
    <n v="2"/>
    <n v="704"/>
    <n v="135.63"/>
  </r>
  <r>
    <x v="257"/>
    <x v="2"/>
    <x v="2"/>
    <x v="1"/>
    <n v="9"/>
    <n v="7767"/>
    <n v="2172.19"/>
  </r>
  <r>
    <x v="258"/>
    <x v="1"/>
    <x v="1"/>
    <x v="3"/>
    <n v="5"/>
    <n v="2050"/>
    <n v="157.13"/>
  </r>
  <r>
    <x v="259"/>
    <x v="6"/>
    <x v="1"/>
    <x v="0"/>
    <n v="9"/>
    <n v="10458"/>
    <n v="2799.48"/>
  </r>
  <r>
    <x v="260"/>
    <x v="3"/>
    <x v="2"/>
    <x v="2"/>
    <n v="4"/>
    <n v="4700"/>
    <n v="619.26"/>
  </r>
  <r>
    <x v="261"/>
    <x v="7"/>
    <x v="2"/>
    <x v="0"/>
    <n v="2"/>
    <n v="892"/>
    <n v="222.51"/>
  </r>
  <r>
    <x v="262"/>
    <x v="9"/>
    <x v="2"/>
    <x v="1"/>
    <n v="8"/>
    <n v="6968"/>
    <n v="1479.09"/>
  </r>
  <r>
    <x v="263"/>
    <x v="9"/>
    <x v="2"/>
    <x v="0"/>
    <n v="7"/>
    <n v="1344"/>
    <n v="300.88"/>
  </r>
  <r>
    <x v="264"/>
    <x v="3"/>
    <x v="2"/>
    <x v="3"/>
    <n v="1"/>
    <n v="354"/>
    <n v="65.989999999999995"/>
  </r>
  <r>
    <x v="265"/>
    <x v="6"/>
    <x v="1"/>
    <x v="2"/>
    <n v="3"/>
    <n v="3051"/>
    <n v="662.23"/>
  </r>
  <r>
    <x v="38"/>
    <x v="3"/>
    <x v="2"/>
    <x v="2"/>
    <n v="3"/>
    <n v="402"/>
    <n v="106.87"/>
  </r>
  <r>
    <x v="266"/>
    <x v="6"/>
    <x v="1"/>
    <x v="0"/>
    <n v="5"/>
    <n v="3570"/>
    <n v="517.82000000000005"/>
  </r>
  <r>
    <x v="267"/>
    <x v="8"/>
    <x v="1"/>
    <x v="0"/>
    <n v="7"/>
    <n v="3829"/>
    <n v="876.35"/>
  </r>
  <r>
    <x v="268"/>
    <x v="1"/>
    <x v="1"/>
    <x v="0"/>
    <n v="7"/>
    <n v="4676"/>
    <n v="242.64"/>
  </r>
  <r>
    <x v="269"/>
    <x v="8"/>
    <x v="1"/>
    <x v="1"/>
    <n v="3"/>
    <n v="1119"/>
    <n v="317.36"/>
  </r>
  <r>
    <x v="175"/>
    <x v="7"/>
    <x v="2"/>
    <x v="1"/>
    <n v="4"/>
    <n v="4228"/>
    <n v="764.3"/>
  </r>
  <r>
    <x v="270"/>
    <x v="4"/>
    <x v="1"/>
    <x v="0"/>
    <n v="8"/>
    <n v="1240"/>
    <n v="251.2"/>
  </r>
  <r>
    <x v="271"/>
    <x v="8"/>
    <x v="1"/>
    <x v="0"/>
    <n v="9"/>
    <n v="3591"/>
    <n v="342.18"/>
  </r>
  <r>
    <x v="272"/>
    <x v="0"/>
    <x v="0"/>
    <x v="3"/>
    <n v="8"/>
    <n v="3952"/>
    <n v="451.08"/>
  </r>
  <r>
    <x v="230"/>
    <x v="8"/>
    <x v="1"/>
    <x v="2"/>
    <n v="6"/>
    <n v="3648"/>
    <n v="1050.08"/>
  </r>
  <r>
    <x v="131"/>
    <x v="6"/>
    <x v="1"/>
    <x v="0"/>
    <n v="5"/>
    <n v="3875"/>
    <n v="768.74"/>
  </r>
  <r>
    <x v="23"/>
    <x v="5"/>
    <x v="2"/>
    <x v="3"/>
    <n v="8"/>
    <n v="3416"/>
    <n v="478.9"/>
  </r>
  <r>
    <x v="273"/>
    <x v="2"/>
    <x v="2"/>
    <x v="3"/>
    <n v="1"/>
    <n v="908"/>
    <n v="222.58"/>
  </r>
  <r>
    <x v="274"/>
    <x v="4"/>
    <x v="1"/>
    <x v="2"/>
    <n v="4"/>
    <n v="4532"/>
    <n v="987.32"/>
  </r>
  <r>
    <x v="275"/>
    <x v="4"/>
    <x v="1"/>
    <x v="1"/>
    <n v="4"/>
    <n v="4168"/>
    <n v="650.15"/>
  </r>
  <r>
    <x v="276"/>
    <x v="9"/>
    <x v="2"/>
    <x v="0"/>
    <n v="3"/>
    <n v="3543"/>
    <n v="941.37"/>
  </r>
  <r>
    <x v="277"/>
    <x v="9"/>
    <x v="2"/>
    <x v="1"/>
    <n v="6"/>
    <n v="5124"/>
    <n v="1078.57"/>
  </r>
  <r>
    <x v="278"/>
    <x v="5"/>
    <x v="2"/>
    <x v="2"/>
    <n v="9"/>
    <n v="5751"/>
    <n v="1196.23"/>
  </r>
  <r>
    <x v="279"/>
    <x v="3"/>
    <x v="2"/>
    <x v="1"/>
    <n v="2"/>
    <n v="624"/>
    <n v="139.63999999999999"/>
  </r>
  <r>
    <x v="5"/>
    <x v="3"/>
    <x v="2"/>
    <x v="2"/>
    <n v="1"/>
    <n v="508"/>
    <n v="151.29"/>
  </r>
  <r>
    <x v="280"/>
    <x v="4"/>
    <x v="1"/>
    <x v="2"/>
    <n v="4"/>
    <n v="4700"/>
    <n v="914.6"/>
  </r>
  <r>
    <x v="281"/>
    <x v="8"/>
    <x v="1"/>
    <x v="3"/>
    <n v="8"/>
    <n v="3216"/>
    <n v="639.78"/>
  </r>
  <r>
    <x v="160"/>
    <x v="9"/>
    <x v="2"/>
    <x v="3"/>
    <n v="6"/>
    <n v="2844"/>
    <n v="581"/>
  </r>
  <r>
    <x v="282"/>
    <x v="7"/>
    <x v="2"/>
    <x v="3"/>
    <n v="5"/>
    <n v="2385"/>
    <n v="258.60000000000002"/>
  </r>
  <r>
    <x v="283"/>
    <x v="6"/>
    <x v="1"/>
    <x v="2"/>
    <n v="8"/>
    <n v="928"/>
    <n v="170.05"/>
  </r>
  <r>
    <x v="284"/>
    <x v="4"/>
    <x v="1"/>
    <x v="0"/>
    <n v="6"/>
    <n v="4656"/>
    <n v="673.35"/>
  </r>
  <r>
    <x v="46"/>
    <x v="4"/>
    <x v="1"/>
    <x v="0"/>
    <n v="2"/>
    <n v="330"/>
    <n v="21.46"/>
  </r>
  <r>
    <x v="285"/>
    <x v="3"/>
    <x v="2"/>
    <x v="0"/>
    <n v="7"/>
    <n v="1799"/>
    <n v="274.11"/>
  </r>
  <r>
    <x v="286"/>
    <x v="0"/>
    <x v="0"/>
    <x v="1"/>
    <n v="1"/>
    <n v="1029"/>
    <n v="173.61"/>
  </r>
  <r>
    <x v="287"/>
    <x v="4"/>
    <x v="1"/>
    <x v="0"/>
    <n v="8"/>
    <n v="5432"/>
    <n v="1619.39"/>
  </r>
  <r>
    <x v="235"/>
    <x v="3"/>
    <x v="2"/>
    <x v="3"/>
    <n v="5"/>
    <n v="5785"/>
    <n v="1191.1099999999999"/>
  </r>
  <r>
    <x v="288"/>
    <x v="0"/>
    <x v="0"/>
    <x v="0"/>
    <n v="1"/>
    <n v="1062"/>
    <n v="272.42"/>
  </r>
  <r>
    <x v="289"/>
    <x v="8"/>
    <x v="1"/>
    <x v="0"/>
    <n v="1"/>
    <n v="163"/>
    <n v="22.07"/>
  </r>
  <r>
    <x v="290"/>
    <x v="7"/>
    <x v="2"/>
    <x v="3"/>
    <n v="9"/>
    <n v="9162"/>
    <n v="1625.62"/>
  </r>
  <r>
    <x v="291"/>
    <x v="0"/>
    <x v="0"/>
    <x v="1"/>
    <n v="4"/>
    <n v="1440"/>
    <n v="130.24"/>
  </r>
  <r>
    <x v="160"/>
    <x v="6"/>
    <x v="1"/>
    <x v="2"/>
    <n v="5"/>
    <n v="1465"/>
    <n v="149.62"/>
  </r>
  <r>
    <x v="217"/>
    <x v="6"/>
    <x v="1"/>
    <x v="3"/>
    <n v="2"/>
    <n v="366"/>
    <n v="31.23"/>
  </r>
  <r>
    <x v="292"/>
    <x v="3"/>
    <x v="2"/>
    <x v="2"/>
    <n v="5"/>
    <n v="3135"/>
    <n v="277.27999999999997"/>
  </r>
  <r>
    <x v="293"/>
    <x v="8"/>
    <x v="1"/>
    <x v="0"/>
    <n v="2"/>
    <n v="630"/>
    <n v="161.04"/>
  </r>
  <r>
    <x v="294"/>
    <x v="6"/>
    <x v="1"/>
    <x v="2"/>
    <n v="1"/>
    <n v="213"/>
    <n v="42.94"/>
  </r>
  <r>
    <x v="295"/>
    <x v="6"/>
    <x v="1"/>
    <x v="0"/>
    <n v="4"/>
    <n v="3792"/>
    <n v="1092.8499999999999"/>
  </r>
  <r>
    <x v="296"/>
    <x v="1"/>
    <x v="1"/>
    <x v="1"/>
    <n v="2"/>
    <n v="1932"/>
    <n v="109.07"/>
  </r>
  <r>
    <x v="297"/>
    <x v="8"/>
    <x v="1"/>
    <x v="3"/>
    <n v="4"/>
    <n v="4152"/>
    <n v="317.27999999999997"/>
  </r>
  <r>
    <x v="298"/>
    <x v="7"/>
    <x v="2"/>
    <x v="0"/>
    <n v="7"/>
    <n v="3612"/>
    <n v="529.57000000000005"/>
  </r>
  <r>
    <x v="299"/>
    <x v="7"/>
    <x v="2"/>
    <x v="1"/>
    <n v="2"/>
    <n v="2258"/>
    <n v="280.76"/>
  </r>
  <r>
    <x v="24"/>
    <x v="3"/>
    <x v="2"/>
    <x v="2"/>
    <n v="3"/>
    <n v="594"/>
    <n v="47.73"/>
  </r>
  <r>
    <x v="300"/>
    <x v="4"/>
    <x v="1"/>
    <x v="3"/>
    <n v="7"/>
    <n v="8071"/>
    <n v="1799.06"/>
  </r>
  <r>
    <x v="301"/>
    <x v="8"/>
    <x v="1"/>
    <x v="0"/>
    <n v="7"/>
    <n v="5838"/>
    <n v="631.45000000000005"/>
  </r>
  <r>
    <x v="302"/>
    <x v="8"/>
    <x v="1"/>
    <x v="0"/>
    <n v="4"/>
    <n v="692"/>
    <n v="181.31"/>
  </r>
  <r>
    <x v="303"/>
    <x v="8"/>
    <x v="1"/>
    <x v="2"/>
    <n v="3"/>
    <n v="1704"/>
    <n v="309.06"/>
  </r>
  <r>
    <x v="304"/>
    <x v="0"/>
    <x v="0"/>
    <x v="2"/>
    <n v="5"/>
    <n v="3235"/>
    <n v="941.24"/>
  </r>
  <r>
    <x v="305"/>
    <x v="1"/>
    <x v="1"/>
    <x v="1"/>
    <n v="6"/>
    <n v="4746"/>
    <n v="545.57000000000005"/>
  </r>
  <r>
    <x v="306"/>
    <x v="5"/>
    <x v="2"/>
    <x v="2"/>
    <n v="8"/>
    <n v="7600"/>
    <n v="788.88"/>
  </r>
  <r>
    <x v="307"/>
    <x v="7"/>
    <x v="2"/>
    <x v="3"/>
    <n v="5"/>
    <n v="1935"/>
    <n v="128.01"/>
  </r>
  <r>
    <x v="10"/>
    <x v="9"/>
    <x v="2"/>
    <x v="0"/>
    <n v="3"/>
    <n v="1638"/>
    <n v="306.29000000000002"/>
  </r>
  <r>
    <x v="308"/>
    <x v="8"/>
    <x v="1"/>
    <x v="3"/>
    <n v="7"/>
    <n v="4746"/>
    <n v="816.6"/>
  </r>
  <r>
    <x v="73"/>
    <x v="7"/>
    <x v="2"/>
    <x v="0"/>
    <n v="8"/>
    <n v="4824"/>
    <n v="1187.93"/>
  </r>
  <r>
    <x v="255"/>
    <x v="3"/>
    <x v="2"/>
    <x v="2"/>
    <n v="1"/>
    <n v="1193"/>
    <n v="153.72"/>
  </r>
  <r>
    <x v="309"/>
    <x v="9"/>
    <x v="2"/>
    <x v="1"/>
    <n v="2"/>
    <n v="562"/>
    <n v="92.94"/>
  </r>
  <r>
    <x v="310"/>
    <x v="7"/>
    <x v="2"/>
    <x v="0"/>
    <n v="8"/>
    <n v="6200"/>
    <n v="1296.8399999999999"/>
  </r>
  <r>
    <x v="311"/>
    <x v="0"/>
    <x v="0"/>
    <x v="0"/>
    <n v="8"/>
    <n v="4128"/>
    <n v="315.48"/>
  </r>
  <r>
    <x v="312"/>
    <x v="0"/>
    <x v="0"/>
    <x v="1"/>
    <n v="5"/>
    <n v="5405"/>
    <n v="326.56"/>
  </r>
  <r>
    <x v="177"/>
    <x v="9"/>
    <x v="2"/>
    <x v="0"/>
    <n v="3"/>
    <n v="1371"/>
    <n v="104.66"/>
  </r>
  <r>
    <x v="313"/>
    <x v="8"/>
    <x v="1"/>
    <x v="3"/>
    <n v="5"/>
    <n v="1405"/>
    <n v="194.33"/>
  </r>
  <r>
    <x v="26"/>
    <x v="8"/>
    <x v="1"/>
    <x v="0"/>
    <n v="3"/>
    <n v="1644"/>
    <n v="158.32"/>
  </r>
  <r>
    <x v="314"/>
    <x v="1"/>
    <x v="1"/>
    <x v="3"/>
    <n v="6"/>
    <n v="3414"/>
    <n v="396.92"/>
  </r>
  <r>
    <x v="315"/>
    <x v="9"/>
    <x v="2"/>
    <x v="1"/>
    <n v="8"/>
    <n v="3272"/>
    <n v="674.57"/>
  </r>
  <r>
    <x v="316"/>
    <x v="7"/>
    <x v="2"/>
    <x v="0"/>
    <n v="3"/>
    <n v="2655"/>
    <n v="646.91"/>
  </r>
  <r>
    <x v="282"/>
    <x v="5"/>
    <x v="2"/>
    <x v="3"/>
    <n v="7"/>
    <n v="1673"/>
    <n v="458.32"/>
  </r>
  <r>
    <x v="317"/>
    <x v="2"/>
    <x v="2"/>
    <x v="1"/>
    <n v="2"/>
    <n v="846"/>
    <n v="145.09"/>
  </r>
  <r>
    <x v="318"/>
    <x v="7"/>
    <x v="2"/>
    <x v="1"/>
    <n v="1"/>
    <n v="985"/>
    <n v="196.64"/>
  </r>
  <r>
    <x v="319"/>
    <x v="5"/>
    <x v="2"/>
    <x v="0"/>
    <n v="9"/>
    <n v="7551"/>
    <n v="894.4"/>
  </r>
  <r>
    <x v="89"/>
    <x v="2"/>
    <x v="2"/>
    <x v="0"/>
    <n v="5"/>
    <n v="855"/>
    <n v="217.16"/>
  </r>
  <r>
    <x v="320"/>
    <x v="3"/>
    <x v="2"/>
    <x v="2"/>
    <n v="2"/>
    <n v="396"/>
    <n v="94.55"/>
  </r>
  <r>
    <x v="108"/>
    <x v="2"/>
    <x v="2"/>
    <x v="3"/>
    <n v="8"/>
    <n v="2296"/>
    <n v="560.48"/>
  </r>
  <r>
    <x v="321"/>
    <x v="6"/>
    <x v="1"/>
    <x v="0"/>
    <n v="6"/>
    <n v="1704"/>
    <n v="199.94"/>
  </r>
  <r>
    <x v="322"/>
    <x v="7"/>
    <x v="2"/>
    <x v="1"/>
    <n v="2"/>
    <n v="1180"/>
    <n v="261.16000000000003"/>
  </r>
  <r>
    <x v="323"/>
    <x v="7"/>
    <x v="2"/>
    <x v="1"/>
    <n v="3"/>
    <n v="411"/>
    <n v="55.73"/>
  </r>
  <r>
    <x v="260"/>
    <x v="1"/>
    <x v="1"/>
    <x v="1"/>
    <n v="1"/>
    <n v="745"/>
    <n v="151.22"/>
  </r>
  <r>
    <x v="255"/>
    <x v="0"/>
    <x v="0"/>
    <x v="3"/>
    <n v="9"/>
    <n v="10656"/>
    <n v="961.3"/>
  </r>
  <r>
    <x v="324"/>
    <x v="1"/>
    <x v="1"/>
    <x v="2"/>
    <n v="3"/>
    <n v="1494"/>
    <n v="178.5"/>
  </r>
  <r>
    <x v="325"/>
    <x v="3"/>
    <x v="2"/>
    <x v="2"/>
    <n v="5"/>
    <n v="1755"/>
    <n v="358.01"/>
  </r>
  <r>
    <x v="326"/>
    <x v="3"/>
    <x v="2"/>
    <x v="2"/>
    <n v="9"/>
    <n v="4941"/>
    <n v="894.52"/>
  </r>
  <r>
    <x v="327"/>
    <x v="5"/>
    <x v="2"/>
    <x v="0"/>
    <n v="6"/>
    <n v="6510"/>
    <n v="1539.18"/>
  </r>
  <r>
    <x v="328"/>
    <x v="7"/>
    <x v="2"/>
    <x v="2"/>
    <n v="5"/>
    <n v="5465"/>
    <n v="719.92"/>
  </r>
  <r>
    <x v="329"/>
    <x v="2"/>
    <x v="2"/>
    <x v="2"/>
    <n v="3"/>
    <n v="3522"/>
    <n v="285.91000000000003"/>
  </r>
  <r>
    <x v="330"/>
    <x v="2"/>
    <x v="2"/>
    <x v="3"/>
    <n v="6"/>
    <n v="1656"/>
    <n v="139.86000000000001"/>
  </r>
  <r>
    <x v="331"/>
    <x v="0"/>
    <x v="0"/>
    <x v="0"/>
    <n v="5"/>
    <n v="1255"/>
    <n v="257.14999999999998"/>
  </r>
  <r>
    <x v="174"/>
    <x v="8"/>
    <x v="1"/>
    <x v="1"/>
    <n v="1"/>
    <n v="1192"/>
    <n v="320.13"/>
  </r>
  <r>
    <x v="332"/>
    <x v="2"/>
    <x v="2"/>
    <x v="3"/>
    <n v="5"/>
    <n v="1925"/>
    <n v="204.74"/>
  </r>
  <r>
    <x v="333"/>
    <x v="2"/>
    <x v="2"/>
    <x v="3"/>
    <n v="8"/>
    <n v="1688"/>
    <n v="337.33"/>
  </r>
  <r>
    <x v="334"/>
    <x v="4"/>
    <x v="1"/>
    <x v="2"/>
    <n v="1"/>
    <n v="260"/>
    <n v="16.809999999999999"/>
  </r>
  <r>
    <x v="260"/>
    <x v="6"/>
    <x v="1"/>
    <x v="3"/>
    <n v="5"/>
    <n v="4880"/>
    <n v="1250.6600000000001"/>
  </r>
  <r>
    <x v="335"/>
    <x v="8"/>
    <x v="1"/>
    <x v="3"/>
    <n v="7"/>
    <n v="1134"/>
    <n v="179.74"/>
  </r>
  <r>
    <x v="42"/>
    <x v="9"/>
    <x v="2"/>
    <x v="0"/>
    <n v="9"/>
    <n v="9621"/>
    <n v="1201.29"/>
  </r>
  <r>
    <x v="268"/>
    <x v="6"/>
    <x v="1"/>
    <x v="2"/>
    <n v="4"/>
    <n v="2836"/>
    <n v="698.83"/>
  </r>
  <r>
    <x v="332"/>
    <x v="0"/>
    <x v="0"/>
    <x v="0"/>
    <n v="9"/>
    <n v="5859"/>
    <n v="1153.8900000000001"/>
  </r>
  <r>
    <x v="37"/>
    <x v="5"/>
    <x v="2"/>
    <x v="2"/>
    <n v="2"/>
    <n v="2044"/>
    <n v="460.03"/>
  </r>
  <r>
    <x v="336"/>
    <x v="6"/>
    <x v="1"/>
    <x v="2"/>
    <n v="1"/>
    <n v="612"/>
    <n v="174.52"/>
  </r>
  <r>
    <x v="337"/>
    <x v="5"/>
    <x v="2"/>
    <x v="0"/>
    <n v="3"/>
    <n v="1890"/>
    <n v="492.31"/>
  </r>
  <r>
    <x v="338"/>
    <x v="5"/>
    <x v="2"/>
    <x v="1"/>
    <n v="5"/>
    <n v="2025"/>
    <n v="168.82"/>
  </r>
  <r>
    <x v="339"/>
    <x v="0"/>
    <x v="0"/>
    <x v="2"/>
    <n v="2"/>
    <n v="1960"/>
    <n v="312.06"/>
  </r>
  <r>
    <x v="331"/>
    <x v="3"/>
    <x v="2"/>
    <x v="0"/>
    <n v="6"/>
    <n v="4410"/>
    <n v="893.27"/>
  </r>
  <r>
    <x v="340"/>
    <x v="8"/>
    <x v="1"/>
    <x v="3"/>
    <n v="8"/>
    <n v="8272"/>
    <n v="2391.88"/>
  </r>
  <r>
    <x v="11"/>
    <x v="5"/>
    <x v="2"/>
    <x v="3"/>
    <n v="6"/>
    <n v="5712"/>
    <n v="638.29"/>
  </r>
  <r>
    <x v="341"/>
    <x v="5"/>
    <x v="2"/>
    <x v="0"/>
    <n v="6"/>
    <n v="1524"/>
    <n v="178.36"/>
  </r>
  <r>
    <x v="342"/>
    <x v="8"/>
    <x v="1"/>
    <x v="0"/>
    <n v="8"/>
    <n v="5160"/>
    <n v="1057.4100000000001"/>
  </r>
  <r>
    <x v="343"/>
    <x v="1"/>
    <x v="1"/>
    <x v="1"/>
    <n v="4"/>
    <n v="2956"/>
    <n v="451.6"/>
  </r>
  <r>
    <x v="344"/>
    <x v="7"/>
    <x v="2"/>
    <x v="3"/>
    <n v="8"/>
    <n v="7944"/>
    <n v="2257.73"/>
  </r>
  <r>
    <x v="112"/>
    <x v="3"/>
    <x v="2"/>
    <x v="0"/>
    <n v="5"/>
    <n v="1815"/>
    <n v="535.22"/>
  </r>
  <r>
    <x v="88"/>
    <x v="4"/>
    <x v="1"/>
    <x v="0"/>
    <n v="3"/>
    <n v="2706"/>
    <n v="546.97"/>
  </r>
  <r>
    <x v="345"/>
    <x v="9"/>
    <x v="2"/>
    <x v="0"/>
    <n v="2"/>
    <n v="1356"/>
    <n v="144.18"/>
  </r>
  <r>
    <x v="346"/>
    <x v="0"/>
    <x v="0"/>
    <x v="2"/>
    <n v="6"/>
    <n v="6384"/>
    <n v="1189.19"/>
  </r>
  <r>
    <x v="347"/>
    <x v="5"/>
    <x v="2"/>
    <x v="2"/>
    <n v="9"/>
    <n v="4248"/>
    <n v="964.12"/>
  </r>
  <r>
    <x v="348"/>
    <x v="6"/>
    <x v="1"/>
    <x v="0"/>
    <n v="6"/>
    <n v="3954"/>
    <n v="676.82"/>
  </r>
  <r>
    <x v="265"/>
    <x v="7"/>
    <x v="2"/>
    <x v="2"/>
    <n v="6"/>
    <n v="7110"/>
    <n v="739.6"/>
  </r>
  <r>
    <x v="349"/>
    <x v="4"/>
    <x v="1"/>
    <x v="2"/>
    <n v="7"/>
    <n v="8113"/>
    <n v="995.03"/>
  </r>
  <r>
    <x v="350"/>
    <x v="4"/>
    <x v="1"/>
    <x v="0"/>
    <n v="3"/>
    <n v="1830"/>
    <n v="183.62"/>
  </r>
  <r>
    <x v="351"/>
    <x v="8"/>
    <x v="1"/>
    <x v="3"/>
    <n v="4"/>
    <n v="3732"/>
    <n v="671.19"/>
  </r>
  <r>
    <x v="352"/>
    <x v="1"/>
    <x v="1"/>
    <x v="3"/>
    <n v="6"/>
    <n v="4062"/>
    <n v="1087.17"/>
  </r>
  <r>
    <x v="353"/>
    <x v="5"/>
    <x v="2"/>
    <x v="0"/>
    <n v="1"/>
    <n v="496"/>
    <n v="93.31"/>
  </r>
  <r>
    <x v="354"/>
    <x v="5"/>
    <x v="2"/>
    <x v="1"/>
    <n v="4"/>
    <n v="1104"/>
    <n v="84.31"/>
  </r>
  <r>
    <x v="130"/>
    <x v="7"/>
    <x v="2"/>
    <x v="3"/>
    <n v="3"/>
    <n v="2274"/>
    <n v="662"/>
  </r>
  <r>
    <x v="355"/>
    <x v="5"/>
    <x v="2"/>
    <x v="0"/>
    <n v="8"/>
    <n v="4456"/>
    <n v="1106.04"/>
  </r>
  <r>
    <x v="356"/>
    <x v="1"/>
    <x v="1"/>
    <x v="3"/>
    <n v="8"/>
    <n v="4928"/>
    <n v="1038.18"/>
  </r>
  <r>
    <x v="357"/>
    <x v="7"/>
    <x v="2"/>
    <x v="0"/>
    <n v="4"/>
    <n v="1740"/>
    <n v="224.79"/>
  </r>
  <r>
    <x v="358"/>
    <x v="4"/>
    <x v="1"/>
    <x v="0"/>
    <n v="2"/>
    <n v="178"/>
    <n v="31.46"/>
  </r>
  <r>
    <x v="359"/>
    <x v="0"/>
    <x v="0"/>
    <x v="1"/>
    <n v="8"/>
    <n v="5296"/>
    <n v="1234.81"/>
  </r>
  <r>
    <x v="360"/>
    <x v="1"/>
    <x v="1"/>
    <x v="0"/>
    <n v="4"/>
    <n v="4156"/>
    <n v="847.09"/>
  </r>
  <r>
    <x v="62"/>
    <x v="0"/>
    <x v="0"/>
    <x v="0"/>
    <n v="1"/>
    <n v="624"/>
    <n v="106.92"/>
  </r>
  <r>
    <x v="29"/>
    <x v="7"/>
    <x v="2"/>
    <x v="3"/>
    <n v="4"/>
    <n v="3892"/>
    <n v="1052.72"/>
  </r>
  <r>
    <x v="361"/>
    <x v="1"/>
    <x v="1"/>
    <x v="2"/>
    <n v="9"/>
    <n v="1620"/>
    <n v="294.60000000000002"/>
  </r>
  <r>
    <x v="362"/>
    <x v="1"/>
    <x v="1"/>
    <x v="3"/>
    <n v="3"/>
    <n v="2250"/>
    <n v="301.97000000000003"/>
  </r>
  <r>
    <x v="363"/>
    <x v="6"/>
    <x v="1"/>
    <x v="3"/>
    <n v="2"/>
    <n v="1390"/>
    <n v="316.31"/>
  </r>
  <r>
    <x v="364"/>
    <x v="3"/>
    <x v="2"/>
    <x v="2"/>
    <n v="5"/>
    <n v="5155"/>
    <n v="1325.16"/>
  </r>
  <r>
    <x v="24"/>
    <x v="5"/>
    <x v="2"/>
    <x v="0"/>
    <n v="5"/>
    <n v="1025"/>
    <n v="262.91000000000003"/>
  </r>
  <r>
    <x v="363"/>
    <x v="1"/>
    <x v="1"/>
    <x v="2"/>
    <n v="3"/>
    <n v="1785"/>
    <n v="244.52"/>
  </r>
  <r>
    <x v="365"/>
    <x v="5"/>
    <x v="2"/>
    <x v="0"/>
    <n v="9"/>
    <n v="2952"/>
    <n v="605.85"/>
  </r>
  <r>
    <x v="366"/>
    <x v="4"/>
    <x v="1"/>
    <x v="1"/>
    <n v="1"/>
    <n v="773"/>
    <n v="181.52"/>
  </r>
  <r>
    <x v="367"/>
    <x v="2"/>
    <x v="2"/>
    <x v="0"/>
    <n v="8"/>
    <n v="1640"/>
    <n v="361.48"/>
  </r>
  <r>
    <x v="368"/>
    <x v="8"/>
    <x v="1"/>
    <x v="1"/>
    <n v="1"/>
    <n v="1017"/>
    <n v="69.33"/>
  </r>
  <r>
    <x v="369"/>
    <x v="4"/>
    <x v="1"/>
    <x v="1"/>
    <n v="4"/>
    <n v="1964"/>
    <n v="349.91"/>
  </r>
  <r>
    <x v="246"/>
    <x v="1"/>
    <x v="1"/>
    <x v="0"/>
    <n v="3"/>
    <n v="2994"/>
    <n v="638.59"/>
  </r>
  <r>
    <x v="370"/>
    <x v="0"/>
    <x v="0"/>
    <x v="1"/>
    <n v="9"/>
    <n v="8046"/>
    <n v="2210.33"/>
  </r>
  <r>
    <x v="371"/>
    <x v="0"/>
    <x v="0"/>
    <x v="3"/>
    <n v="2"/>
    <n v="1874"/>
    <n v="271.5"/>
  </r>
  <r>
    <x v="372"/>
    <x v="1"/>
    <x v="1"/>
    <x v="0"/>
    <n v="8"/>
    <n v="6008"/>
    <n v="871.76"/>
  </r>
  <r>
    <x v="284"/>
    <x v="3"/>
    <x v="2"/>
    <x v="1"/>
    <n v="8"/>
    <n v="7240"/>
    <n v="411.19"/>
  </r>
  <r>
    <x v="373"/>
    <x v="6"/>
    <x v="1"/>
    <x v="2"/>
    <n v="9"/>
    <n v="1188"/>
    <n v="348.31"/>
  </r>
  <r>
    <x v="302"/>
    <x v="4"/>
    <x v="1"/>
    <x v="0"/>
    <n v="9"/>
    <n v="2997"/>
    <n v="163.34"/>
  </r>
  <r>
    <x v="374"/>
    <x v="0"/>
    <x v="0"/>
    <x v="3"/>
    <n v="9"/>
    <n v="7524"/>
    <n v="2017.85"/>
  </r>
  <r>
    <x v="375"/>
    <x v="6"/>
    <x v="1"/>
    <x v="0"/>
    <n v="5"/>
    <n v="3625"/>
    <n v="268.73"/>
  </r>
  <r>
    <x v="376"/>
    <x v="9"/>
    <x v="2"/>
    <x v="1"/>
    <n v="8"/>
    <n v="6952"/>
    <n v="871.2"/>
  </r>
  <r>
    <x v="377"/>
    <x v="3"/>
    <x v="2"/>
    <x v="0"/>
    <n v="9"/>
    <n v="1053"/>
    <n v="283.58"/>
  </r>
  <r>
    <x v="378"/>
    <x v="6"/>
    <x v="1"/>
    <x v="0"/>
    <n v="9"/>
    <n v="6696"/>
    <n v="1224.22"/>
  </r>
  <r>
    <x v="62"/>
    <x v="4"/>
    <x v="1"/>
    <x v="0"/>
    <n v="2"/>
    <n v="1420"/>
    <n v="93.59"/>
  </r>
  <r>
    <x v="379"/>
    <x v="3"/>
    <x v="2"/>
    <x v="3"/>
    <n v="9"/>
    <n v="9972"/>
    <n v="2566.0100000000002"/>
  </r>
  <r>
    <x v="380"/>
    <x v="9"/>
    <x v="2"/>
    <x v="2"/>
    <n v="8"/>
    <n v="3136"/>
    <n v="494.26"/>
  </r>
  <r>
    <x v="291"/>
    <x v="3"/>
    <x v="2"/>
    <x v="3"/>
    <n v="3"/>
    <n v="225"/>
    <n v="20.52"/>
  </r>
  <r>
    <x v="381"/>
    <x v="1"/>
    <x v="1"/>
    <x v="1"/>
    <n v="3"/>
    <n v="1662"/>
    <n v="375.04"/>
  </r>
  <r>
    <x v="51"/>
    <x v="0"/>
    <x v="0"/>
    <x v="3"/>
    <n v="4"/>
    <n v="500"/>
    <n v="85.96"/>
  </r>
  <r>
    <x v="382"/>
    <x v="7"/>
    <x v="2"/>
    <x v="0"/>
    <n v="8"/>
    <n v="3168"/>
    <n v="747.33"/>
  </r>
  <r>
    <x v="383"/>
    <x v="7"/>
    <x v="2"/>
    <x v="1"/>
    <n v="1"/>
    <n v="622"/>
    <n v="104.57"/>
  </r>
  <r>
    <x v="384"/>
    <x v="2"/>
    <x v="2"/>
    <x v="0"/>
    <n v="3"/>
    <n v="1233"/>
    <n v="361.12"/>
  </r>
  <r>
    <x v="385"/>
    <x v="9"/>
    <x v="2"/>
    <x v="3"/>
    <n v="3"/>
    <n v="573"/>
    <n v="116.14"/>
  </r>
  <r>
    <x v="337"/>
    <x v="2"/>
    <x v="2"/>
    <x v="2"/>
    <n v="1"/>
    <n v="702"/>
    <n v="129.34"/>
  </r>
  <r>
    <x v="146"/>
    <x v="9"/>
    <x v="2"/>
    <x v="2"/>
    <n v="8"/>
    <n v="4832"/>
    <n v="1261.06"/>
  </r>
  <r>
    <x v="386"/>
    <x v="0"/>
    <x v="0"/>
    <x v="0"/>
    <n v="5"/>
    <n v="3765"/>
    <n v="670.8"/>
  </r>
  <r>
    <x v="387"/>
    <x v="3"/>
    <x v="2"/>
    <x v="0"/>
    <n v="8"/>
    <n v="6928"/>
    <n v="1415.16"/>
  </r>
  <r>
    <x v="73"/>
    <x v="4"/>
    <x v="1"/>
    <x v="3"/>
    <n v="7"/>
    <n v="1624"/>
    <n v="436.13"/>
  </r>
  <r>
    <x v="90"/>
    <x v="4"/>
    <x v="1"/>
    <x v="0"/>
    <n v="1"/>
    <n v="68"/>
    <n v="10.39"/>
  </r>
  <r>
    <x v="388"/>
    <x v="1"/>
    <x v="1"/>
    <x v="0"/>
    <n v="1"/>
    <n v="651"/>
    <n v="187.99"/>
  </r>
  <r>
    <x v="389"/>
    <x v="0"/>
    <x v="0"/>
    <x v="0"/>
    <n v="7"/>
    <n v="6293"/>
    <n v="718.49"/>
  </r>
  <r>
    <x v="390"/>
    <x v="8"/>
    <x v="1"/>
    <x v="3"/>
    <n v="2"/>
    <n v="1068"/>
    <n v="85.71"/>
  </r>
  <r>
    <x v="391"/>
    <x v="8"/>
    <x v="1"/>
    <x v="0"/>
    <n v="1"/>
    <n v="381"/>
    <n v="26.69"/>
  </r>
  <r>
    <x v="155"/>
    <x v="0"/>
    <x v="0"/>
    <x v="2"/>
    <n v="2"/>
    <n v="2016"/>
    <n v="426.43"/>
  </r>
  <r>
    <x v="392"/>
    <x v="4"/>
    <x v="1"/>
    <x v="3"/>
    <n v="2"/>
    <n v="1224"/>
    <n v="340.67"/>
  </r>
  <r>
    <x v="139"/>
    <x v="6"/>
    <x v="1"/>
    <x v="2"/>
    <n v="5"/>
    <n v="2180"/>
    <n v="400.01"/>
  </r>
  <r>
    <x v="393"/>
    <x v="9"/>
    <x v="2"/>
    <x v="0"/>
    <n v="9"/>
    <n v="2853"/>
    <n v="353.09"/>
  </r>
  <r>
    <x v="394"/>
    <x v="1"/>
    <x v="1"/>
    <x v="2"/>
    <n v="1"/>
    <n v="272"/>
    <n v="45.33"/>
  </r>
  <r>
    <x v="281"/>
    <x v="7"/>
    <x v="2"/>
    <x v="0"/>
    <n v="4"/>
    <n v="2640"/>
    <n v="183.23"/>
  </r>
  <r>
    <x v="395"/>
    <x v="6"/>
    <x v="1"/>
    <x v="0"/>
    <n v="2"/>
    <n v="488"/>
    <n v="129.02000000000001"/>
  </r>
  <r>
    <x v="396"/>
    <x v="0"/>
    <x v="0"/>
    <x v="2"/>
    <n v="8"/>
    <n v="9184"/>
    <n v="1795.93"/>
  </r>
  <r>
    <x v="294"/>
    <x v="2"/>
    <x v="2"/>
    <x v="0"/>
    <n v="5"/>
    <n v="280"/>
    <n v="23.98"/>
  </r>
  <r>
    <x v="141"/>
    <x v="8"/>
    <x v="1"/>
    <x v="1"/>
    <n v="3"/>
    <n v="2889"/>
    <n v="604.45000000000005"/>
  </r>
  <r>
    <x v="361"/>
    <x v="9"/>
    <x v="2"/>
    <x v="3"/>
    <n v="1"/>
    <n v="625"/>
    <n v="125.9"/>
  </r>
  <r>
    <x v="397"/>
    <x v="8"/>
    <x v="1"/>
    <x v="2"/>
    <n v="8"/>
    <n v="7056"/>
    <n v="538.48"/>
  </r>
  <r>
    <x v="398"/>
    <x v="2"/>
    <x v="2"/>
    <x v="3"/>
    <n v="8"/>
    <n v="3936"/>
    <n v="720.2"/>
  </r>
  <r>
    <x v="399"/>
    <x v="5"/>
    <x v="2"/>
    <x v="1"/>
    <n v="6"/>
    <n v="2472"/>
    <n v="363.38"/>
  </r>
  <r>
    <x v="206"/>
    <x v="1"/>
    <x v="1"/>
    <x v="3"/>
    <n v="5"/>
    <n v="855"/>
    <n v="67.569999999999993"/>
  </r>
  <r>
    <x v="400"/>
    <x v="1"/>
    <x v="1"/>
    <x v="3"/>
    <n v="3"/>
    <n v="3480"/>
    <n v="560.39"/>
  </r>
  <r>
    <x v="401"/>
    <x v="3"/>
    <x v="2"/>
    <x v="2"/>
    <n v="1"/>
    <n v="846"/>
    <n v="103.3"/>
  </r>
  <r>
    <x v="402"/>
    <x v="8"/>
    <x v="1"/>
    <x v="0"/>
    <n v="1"/>
    <n v="158"/>
    <n v="46.24"/>
  </r>
  <r>
    <x v="403"/>
    <x v="1"/>
    <x v="1"/>
    <x v="2"/>
    <n v="9"/>
    <n v="3186"/>
    <n v="583.24"/>
  </r>
  <r>
    <x v="69"/>
    <x v="1"/>
    <x v="1"/>
    <x v="0"/>
    <n v="7"/>
    <n v="6972"/>
    <n v="969.43"/>
  </r>
  <r>
    <x v="404"/>
    <x v="1"/>
    <x v="1"/>
    <x v="1"/>
    <n v="5"/>
    <n v="1745"/>
    <n v="449.64"/>
  </r>
  <r>
    <x v="405"/>
    <x v="9"/>
    <x v="2"/>
    <x v="1"/>
    <n v="8"/>
    <n v="4256"/>
    <n v="372.95"/>
  </r>
  <r>
    <x v="406"/>
    <x v="8"/>
    <x v="1"/>
    <x v="2"/>
    <n v="3"/>
    <n v="1674"/>
    <n v="499.63"/>
  </r>
  <r>
    <x v="407"/>
    <x v="3"/>
    <x v="2"/>
    <x v="0"/>
    <n v="8"/>
    <n v="6488"/>
    <n v="1072.8599999999999"/>
  </r>
  <r>
    <x v="408"/>
    <x v="2"/>
    <x v="2"/>
    <x v="1"/>
    <n v="5"/>
    <n v="3530"/>
    <n v="803.86"/>
  </r>
  <r>
    <x v="52"/>
    <x v="1"/>
    <x v="1"/>
    <x v="0"/>
    <n v="2"/>
    <n v="632"/>
    <n v="87.45"/>
  </r>
  <r>
    <x v="329"/>
    <x v="6"/>
    <x v="1"/>
    <x v="0"/>
    <n v="7"/>
    <n v="3675"/>
    <n v="236.8"/>
  </r>
  <r>
    <x v="250"/>
    <x v="5"/>
    <x v="2"/>
    <x v="3"/>
    <n v="6"/>
    <n v="5592"/>
    <n v="926.42"/>
  </r>
  <r>
    <x v="17"/>
    <x v="8"/>
    <x v="1"/>
    <x v="1"/>
    <n v="6"/>
    <n v="6432"/>
    <n v="807.94"/>
  </r>
  <r>
    <x v="409"/>
    <x v="3"/>
    <x v="2"/>
    <x v="1"/>
    <n v="3"/>
    <n v="3069"/>
    <n v="503.3"/>
  </r>
  <r>
    <x v="251"/>
    <x v="8"/>
    <x v="1"/>
    <x v="0"/>
    <n v="7"/>
    <n v="2898"/>
    <n v="490.11"/>
  </r>
  <r>
    <x v="410"/>
    <x v="2"/>
    <x v="2"/>
    <x v="0"/>
    <n v="4"/>
    <n v="3960"/>
    <n v="632.76"/>
  </r>
  <r>
    <x v="363"/>
    <x v="2"/>
    <x v="2"/>
    <x v="2"/>
    <n v="3"/>
    <n v="1476"/>
    <n v="85.16"/>
  </r>
  <r>
    <x v="411"/>
    <x v="0"/>
    <x v="0"/>
    <x v="1"/>
    <n v="2"/>
    <n v="1058"/>
    <n v="298.69"/>
  </r>
  <r>
    <x v="412"/>
    <x v="6"/>
    <x v="1"/>
    <x v="2"/>
    <n v="5"/>
    <n v="1215"/>
    <n v="162.02000000000001"/>
  </r>
  <r>
    <x v="117"/>
    <x v="3"/>
    <x v="2"/>
    <x v="0"/>
    <n v="3"/>
    <n v="204"/>
    <n v="20.43"/>
  </r>
  <r>
    <x v="413"/>
    <x v="2"/>
    <x v="2"/>
    <x v="3"/>
    <n v="7"/>
    <n v="4137"/>
    <n v="221.66"/>
  </r>
  <r>
    <x v="414"/>
    <x v="3"/>
    <x v="2"/>
    <x v="3"/>
    <n v="5"/>
    <n v="250"/>
    <n v="16.809999999999999"/>
  </r>
  <r>
    <x v="415"/>
    <x v="2"/>
    <x v="2"/>
    <x v="3"/>
    <n v="5"/>
    <n v="1185"/>
    <n v="254.34"/>
  </r>
  <r>
    <x v="416"/>
    <x v="4"/>
    <x v="1"/>
    <x v="2"/>
    <n v="2"/>
    <n v="1504"/>
    <n v="108.52"/>
  </r>
  <r>
    <x v="168"/>
    <x v="8"/>
    <x v="1"/>
    <x v="3"/>
    <n v="6"/>
    <n v="6888"/>
    <n v="945.07"/>
  </r>
  <r>
    <x v="366"/>
    <x v="7"/>
    <x v="2"/>
    <x v="3"/>
    <n v="3"/>
    <n v="3588"/>
    <n v="958.84"/>
  </r>
  <r>
    <x v="417"/>
    <x v="9"/>
    <x v="2"/>
    <x v="2"/>
    <n v="7"/>
    <n v="1477"/>
    <n v="367.22"/>
  </r>
  <r>
    <x v="418"/>
    <x v="5"/>
    <x v="2"/>
    <x v="1"/>
    <n v="8"/>
    <n v="1280"/>
    <n v="131.56"/>
  </r>
  <r>
    <x v="419"/>
    <x v="2"/>
    <x v="2"/>
    <x v="2"/>
    <n v="7"/>
    <n v="7161"/>
    <n v="630.76"/>
  </r>
  <r>
    <x v="420"/>
    <x v="0"/>
    <x v="0"/>
    <x v="0"/>
    <n v="5"/>
    <n v="1850"/>
    <n v="346.4"/>
  </r>
  <r>
    <x v="18"/>
    <x v="1"/>
    <x v="1"/>
    <x v="1"/>
    <n v="3"/>
    <n v="3378"/>
    <n v="520.30999999999995"/>
  </r>
  <r>
    <x v="421"/>
    <x v="9"/>
    <x v="2"/>
    <x v="3"/>
    <n v="7"/>
    <n v="7672"/>
    <n v="2046.38"/>
  </r>
  <r>
    <x v="327"/>
    <x v="2"/>
    <x v="2"/>
    <x v="2"/>
    <n v="6"/>
    <n v="4254"/>
    <n v="938.66"/>
  </r>
  <r>
    <x v="422"/>
    <x v="8"/>
    <x v="1"/>
    <x v="1"/>
    <n v="5"/>
    <n v="2285"/>
    <n v="279.89999999999998"/>
  </r>
  <r>
    <x v="423"/>
    <x v="8"/>
    <x v="1"/>
    <x v="3"/>
    <n v="7"/>
    <n v="5775"/>
    <n v="680.6"/>
  </r>
  <r>
    <x v="30"/>
    <x v="7"/>
    <x v="2"/>
    <x v="0"/>
    <n v="9"/>
    <n v="9360"/>
    <n v="910.35"/>
  </r>
  <r>
    <x v="297"/>
    <x v="0"/>
    <x v="0"/>
    <x v="0"/>
    <n v="8"/>
    <n v="6936"/>
    <n v="1156.52"/>
  </r>
  <r>
    <x v="190"/>
    <x v="3"/>
    <x v="2"/>
    <x v="1"/>
    <n v="9"/>
    <n v="5634"/>
    <n v="464.71"/>
  </r>
  <r>
    <x v="181"/>
    <x v="7"/>
    <x v="2"/>
    <x v="0"/>
    <n v="4"/>
    <n v="2644"/>
    <n v="731.86"/>
  </r>
  <r>
    <x v="424"/>
    <x v="4"/>
    <x v="1"/>
    <x v="0"/>
    <n v="1"/>
    <n v="247"/>
    <n v="35.65"/>
  </r>
  <r>
    <x v="425"/>
    <x v="9"/>
    <x v="2"/>
    <x v="1"/>
    <n v="7"/>
    <n v="1869"/>
    <n v="357.27"/>
  </r>
  <r>
    <x v="426"/>
    <x v="5"/>
    <x v="2"/>
    <x v="3"/>
    <n v="7"/>
    <n v="1988"/>
    <n v="430.59"/>
  </r>
  <r>
    <x v="427"/>
    <x v="9"/>
    <x v="2"/>
    <x v="3"/>
    <n v="4"/>
    <n v="1920"/>
    <n v="549.11"/>
  </r>
  <r>
    <x v="229"/>
    <x v="4"/>
    <x v="1"/>
    <x v="3"/>
    <n v="3"/>
    <n v="2577"/>
    <n v="196.37"/>
  </r>
  <r>
    <x v="428"/>
    <x v="3"/>
    <x v="2"/>
    <x v="1"/>
    <n v="3"/>
    <n v="828"/>
    <n v="117.95"/>
  </r>
  <r>
    <x v="429"/>
    <x v="3"/>
    <x v="2"/>
    <x v="2"/>
    <n v="2"/>
    <n v="1580"/>
    <n v="403.76"/>
  </r>
  <r>
    <x v="280"/>
    <x v="3"/>
    <x v="2"/>
    <x v="1"/>
    <n v="9"/>
    <n v="9009"/>
    <n v="1909.26"/>
  </r>
  <r>
    <x v="430"/>
    <x v="7"/>
    <x v="2"/>
    <x v="1"/>
    <n v="9"/>
    <n v="7425"/>
    <n v="1580.86"/>
  </r>
  <r>
    <x v="413"/>
    <x v="6"/>
    <x v="1"/>
    <x v="3"/>
    <n v="5"/>
    <n v="2945"/>
    <n v="672.35"/>
  </r>
  <r>
    <x v="431"/>
    <x v="1"/>
    <x v="1"/>
    <x v="3"/>
    <n v="3"/>
    <n v="294"/>
    <n v="22.9"/>
  </r>
  <r>
    <x v="432"/>
    <x v="1"/>
    <x v="1"/>
    <x v="2"/>
    <n v="5"/>
    <n v="5875"/>
    <n v="789.23"/>
  </r>
  <r>
    <x v="47"/>
    <x v="5"/>
    <x v="2"/>
    <x v="3"/>
    <n v="3"/>
    <n v="1308"/>
    <n v="197.6"/>
  </r>
  <r>
    <x v="433"/>
    <x v="6"/>
    <x v="1"/>
    <x v="2"/>
    <n v="4"/>
    <n v="2360"/>
    <n v="391.82"/>
  </r>
  <r>
    <x v="434"/>
    <x v="5"/>
    <x v="2"/>
    <x v="3"/>
    <n v="6"/>
    <n v="1008"/>
    <n v="245.45"/>
  </r>
  <r>
    <x v="435"/>
    <x v="5"/>
    <x v="2"/>
    <x v="0"/>
    <n v="6"/>
    <n v="1344"/>
    <n v="338.4"/>
  </r>
  <r>
    <x v="187"/>
    <x v="0"/>
    <x v="0"/>
    <x v="3"/>
    <n v="7"/>
    <n v="5635"/>
    <n v="1185.97"/>
  </r>
  <r>
    <x v="124"/>
    <x v="1"/>
    <x v="1"/>
    <x v="1"/>
    <n v="4"/>
    <n v="4088"/>
    <n v="1200.03"/>
  </r>
  <r>
    <x v="436"/>
    <x v="3"/>
    <x v="2"/>
    <x v="2"/>
    <n v="8"/>
    <n v="2192"/>
    <n v="441.77"/>
  </r>
  <r>
    <x v="437"/>
    <x v="8"/>
    <x v="1"/>
    <x v="2"/>
    <n v="8"/>
    <n v="1952"/>
    <n v="444.15"/>
  </r>
  <r>
    <x v="438"/>
    <x v="7"/>
    <x v="2"/>
    <x v="1"/>
    <n v="7"/>
    <n v="3955"/>
    <n v="1144.76"/>
  </r>
  <r>
    <x v="96"/>
    <x v="1"/>
    <x v="1"/>
    <x v="2"/>
    <n v="8"/>
    <n v="5256"/>
    <n v="1118.1600000000001"/>
  </r>
  <r>
    <x v="439"/>
    <x v="3"/>
    <x v="2"/>
    <x v="0"/>
    <n v="1"/>
    <n v="1163"/>
    <n v="115.09"/>
  </r>
  <r>
    <x v="440"/>
    <x v="5"/>
    <x v="2"/>
    <x v="0"/>
    <n v="9"/>
    <n v="5004"/>
    <n v="973.65"/>
  </r>
  <r>
    <x v="441"/>
    <x v="1"/>
    <x v="1"/>
    <x v="0"/>
    <n v="8"/>
    <n v="9128"/>
    <n v="1342.19"/>
  </r>
  <r>
    <x v="442"/>
    <x v="9"/>
    <x v="2"/>
    <x v="1"/>
    <n v="4"/>
    <n v="4700"/>
    <n v="576.34"/>
  </r>
  <r>
    <x v="443"/>
    <x v="3"/>
    <x v="2"/>
    <x v="3"/>
    <n v="2"/>
    <n v="1686"/>
    <n v="146.38999999999999"/>
  </r>
  <r>
    <x v="444"/>
    <x v="8"/>
    <x v="1"/>
    <x v="2"/>
    <n v="9"/>
    <n v="4572"/>
    <n v="279.54000000000002"/>
  </r>
  <r>
    <x v="445"/>
    <x v="7"/>
    <x v="2"/>
    <x v="2"/>
    <n v="5"/>
    <n v="2510"/>
    <n v="515.12"/>
  </r>
  <r>
    <x v="388"/>
    <x v="7"/>
    <x v="2"/>
    <x v="3"/>
    <n v="3"/>
    <n v="3117"/>
    <n v="829.09"/>
  </r>
  <r>
    <x v="446"/>
    <x v="9"/>
    <x v="2"/>
    <x v="3"/>
    <n v="1"/>
    <n v="380"/>
    <n v="94.35"/>
  </r>
  <r>
    <x v="63"/>
    <x v="6"/>
    <x v="1"/>
    <x v="3"/>
    <n v="9"/>
    <n v="2889"/>
    <n v="604.19000000000005"/>
  </r>
  <r>
    <x v="447"/>
    <x v="5"/>
    <x v="2"/>
    <x v="1"/>
    <n v="9"/>
    <n v="3654"/>
    <n v="581.9"/>
  </r>
  <r>
    <x v="250"/>
    <x v="0"/>
    <x v="0"/>
    <x v="1"/>
    <n v="6"/>
    <n v="5610"/>
    <n v="298.77"/>
  </r>
  <r>
    <x v="448"/>
    <x v="7"/>
    <x v="2"/>
    <x v="2"/>
    <n v="1"/>
    <n v="668"/>
    <n v="99.4"/>
  </r>
  <r>
    <x v="449"/>
    <x v="7"/>
    <x v="2"/>
    <x v="2"/>
    <n v="7"/>
    <n v="3983"/>
    <n v="360.13"/>
  </r>
  <r>
    <x v="450"/>
    <x v="8"/>
    <x v="1"/>
    <x v="2"/>
    <n v="1"/>
    <n v="1112"/>
    <n v="272.81"/>
  </r>
  <r>
    <x v="451"/>
    <x v="6"/>
    <x v="1"/>
    <x v="0"/>
    <n v="9"/>
    <n v="4230"/>
    <n v="221.06"/>
  </r>
  <r>
    <x v="452"/>
    <x v="2"/>
    <x v="2"/>
    <x v="1"/>
    <n v="8"/>
    <n v="2968"/>
    <n v="530.29999999999995"/>
  </r>
  <r>
    <x v="135"/>
    <x v="6"/>
    <x v="1"/>
    <x v="3"/>
    <n v="5"/>
    <n v="4690"/>
    <n v="706.74"/>
  </r>
  <r>
    <x v="255"/>
    <x v="3"/>
    <x v="2"/>
    <x v="3"/>
    <n v="6"/>
    <n v="4296"/>
    <n v="1240.31"/>
  </r>
  <r>
    <x v="453"/>
    <x v="3"/>
    <x v="2"/>
    <x v="0"/>
    <n v="7"/>
    <n v="7203"/>
    <n v="523.52"/>
  </r>
  <r>
    <x v="454"/>
    <x v="7"/>
    <x v="2"/>
    <x v="0"/>
    <n v="4"/>
    <n v="3640"/>
    <n v="695.31"/>
  </r>
  <r>
    <x v="455"/>
    <x v="7"/>
    <x v="2"/>
    <x v="1"/>
    <n v="1"/>
    <n v="1131"/>
    <n v="304.62"/>
  </r>
  <r>
    <x v="456"/>
    <x v="3"/>
    <x v="2"/>
    <x v="3"/>
    <n v="9"/>
    <n v="3627"/>
    <n v="797.53"/>
  </r>
  <r>
    <x v="138"/>
    <x v="1"/>
    <x v="1"/>
    <x v="2"/>
    <n v="8"/>
    <n v="7968"/>
    <n v="1249.98"/>
  </r>
  <r>
    <x v="457"/>
    <x v="4"/>
    <x v="1"/>
    <x v="2"/>
    <n v="3"/>
    <n v="3546"/>
    <n v="490.28"/>
  </r>
  <r>
    <x v="458"/>
    <x v="2"/>
    <x v="2"/>
    <x v="2"/>
    <n v="5"/>
    <n v="2270"/>
    <n v="546.55999999999995"/>
  </r>
  <r>
    <x v="459"/>
    <x v="8"/>
    <x v="1"/>
    <x v="3"/>
    <n v="2"/>
    <n v="1354"/>
    <n v="136.91"/>
  </r>
  <r>
    <x v="157"/>
    <x v="4"/>
    <x v="1"/>
    <x v="3"/>
    <n v="7"/>
    <n v="6811"/>
    <n v="1423.57"/>
  </r>
  <r>
    <x v="460"/>
    <x v="5"/>
    <x v="2"/>
    <x v="1"/>
    <n v="3"/>
    <n v="1410"/>
    <n v="232.65"/>
  </r>
  <r>
    <x v="461"/>
    <x v="8"/>
    <x v="1"/>
    <x v="0"/>
    <n v="2"/>
    <n v="1170"/>
    <n v="249.99"/>
  </r>
  <r>
    <x v="275"/>
    <x v="9"/>
    <x v="2"/>
    <x v="1"/>
    <n v="7"/>
    <n v="4739"/>
    <n v="740.74"/>
  </r>
  <r>
    <x v="5"/>
    <x v="1"/>
    <x v="1"/>
    <x v="2"/>
    <n v="9"/>
    <n v="7866"/>
    <n v="1554.38"/>
  </r>
  <r>
    <x v="462"/>
    <x v="6"/>
    <x v="1"/>
    <x v="1"/>
    <n v="5"/>
    <n v="3645"/>
    <n v="388.31"/>
  </r>
  <r>
    <x v="144"/>
    <x v="4"/>
    <x v="1"/>
    <x v="1"/>
    <n v="6"/>
    <n v="5358"/>
    <n v="568.34"/>
  </r>
  <r>
    <x v="463"/>
    <x v="3"/>
    <x v="2"/>
    <x v="0"/>
    <n v="5"/>
    <n v="1775"/>
    <n v="486.37"/>
  </r>
  <r>
    <x v="130"/>
    <x v="4"/>
    <x v="1"/>
    <x v="2"/>
    <n v="9"/>
    <n v="4905"/>
    <n v="1351.25"/>
  </r>
  <r>
    <x v="464"/>
    <x v="1"/>
    <x v="1"/>
    <x v="1"/>
    <n v="6"/>
    <n v="4260"/>
    <n v="372.33"/>
  </r>
  <r>
    <x v="465"/>
    <x v="0"/>
    <x v="0"/>
    <x v="1"/>
    <n v="2"/>
    <n v="1632"/>
    <n v="292.77999999999997"/>
  </r>
  <r>
    <x v="322"/>
    <x v="5"/>
    <x v="2"/>
    <x v="1"/>
    <n v="6"/>
    <n v="3324"/>
    <n v="466.78"/>
  </r>
  <r>
    <x v="466"/>
    <x v="3"/>
    <x v="2"/>
    <x v="3"/>
    <n v="5"/>
    <n v="4590"/>
    <n v="347.14"/>
  </r>
  <r>
    <x v="406"/>
    <x v="9"/>
    <x v="2"/>
    <x v="1"/>
    <n v="9"/>
    <n v="8496"/>
    <n v="2182.42"/>
  </r>
  <r>
    <x v="467"/>
    <x v="0"/>
    <x v="0"/>
    <x v="0"/>
    <n v="6"/>
    <n v="6444"/>
    <n v="518.79"/>
  </r>
  <r>
    <x v="281"/>
    <x v="3"/>
    <x v="2"/>
    <x v="0"/>
    <n v="1"/>
    <n v="812"/>
    <n v="51.13"/>
  </r>
  <r>
    <x v="160"/>
    <x v="6"/>
    <x v="1"/>
    <x v="3"/>
    <n v="6"/>
    <n v="1764"/>
    <n v="465.93"/>
  </r>
  <r>
    <x v="468"/>
    <x v="0"/>
    <x v="0"/>
    <x v="3"/>
    <n v="1"/>
    <n v="1012"/>
    <n v="172.67"/>
  </r>
  <r>
    <x v="318"/>
    <x v="8"/>
    <x v="1"/>
    <x v="2"/>
    <n v="2"/>
    <n v="836"/>
    <n v="47.07"/>
  </r>
  <r>
    <x v="379"/>
    <x v="5"/>
    <x v="2"/>
    <x v="1"/>
    <n v="1"/>
    <n v="723"/>
    <n v="115.26"/>
  </r>
  <r>
    <x v="86"/>
    <x v="4"/>
    <x v="1"/>
    <x v="0"/>
    <n v="6"/>
    <n v="5628"/>
    <n v="1033.1500000000001"/>
  </r>
  <r>
    <x v="469"/>
    <x v="9"/>
    <x v="2"/>
    <x v="0"/>
    <n v="5"/>
    <n v="1660"/>
    <n v="283.14"/>
  </r>
  <r>
    <x v="470"/>
    <x v="4"/>
    <x v="1"/>
    <x v="3"/>
    <n v="3"/>
    <n v="2295"/>
    <n v="244.83"/>
  </r>
  <r>
    <x v="471"/>
    <x v="0"/>
    <x v="0"/>
    <x v="1"/>
    <n v="2"/>
    <n v="2190"/>
    <n v="477.8"/>
  </r>
  <r>
    <x v="328"/>
    <x v="2"/>
    <x v="2"/>
    <x v="1"/>
    <n v="7"/>
    <n v="3500"/>
    <n v="919.35"/>
  </r>
  <r>
    <x v="472"/>
    <x v="4"/>
    <x v="1"/>
    <x v="3"/>
    <n v="2"/>
    <n v="1098"/>
    <n v="239.92"/>
  </r>
  <r>
    <x v="473"/>
    <x v="1"/>
    <x v="1"/>
    <x v="0"/>
    <n v="5"/>
    <n v="945"/>
    <n v="194.03"/>
  </r>
  <r>
    <x v="273"/>
    <x v="1"/>
    <x v="1"/>
    <x v="3"/>
    <n v="6"/>
    <n v="5622"/>
    <n v="1382.67"/>
  </r>
  <r>
    <x v="442"/>
    <x v="3"/>
    <x v="2"/>
    <x v="1"/>
    <n v="3"/>
    <n v="2325"/>
    <n v="309.49"/>
  </r>
  <r>
    <x v="474"/>
    <x v="8"/>
    <x v="1"/>
    <x v="2"/>
    <n v="1"/>
    <n v="1157"/>
    <n v="252.08"/>
  </r>
  <r>
    <x v="475"/>
    <x v="0"/>
    <x v="0"/>
    <x v="3"/>
    <n v="3"/>
    <n v="531"/>
    <n v="126.24"/>
  </r>
  <r>
    <x v="476"/>
    <x v="2"/>
    <x v="2"/>
    <x v="3"/>
    <n v="2"/>
    <n v="1760"/>
    <n v="278.08999999999997"/>
  </r>
  <r>
    <x v="477"/>
    <x v="5"/>
    <x v="2"/>
    <x v="0"/>
    <n v="1"/>
    <n v="371"/>
    <n v="108.58"/>
  </r>
  <r>
    <x v="478"/>
    <x v="7"/>
    <x v="2"/>
    <x v="1"/>
    <n v="4"/>
    <n v="1896"/>
    <n v="191.7"/>
  </r>
  <r>
    <x v="479"/>
    <x v="5"/>
    <x v="2"/>
    <x v="2"/>
    <n v="2"/>
    <n v="514"/>
    <n v="106.75"/>
  </r>
  <r>
    <x v="480"/>
    <x v="6"/>
    <x v="1"/>
    <x v="3"/>
    <n v="7"/>
    <n v="1876"/>
    <n v="129.25"/>
  </r>
  <r>
    <x v="372"/>
    <x v="3"/>
    <x v="2"/>
    <x v="1"/>
    <n v="6"/>
    <n v="1182"/>
    <n v="236.12"/>
  </r>
  <r>
    <x v="281"/>
    <x v="7"/>
    <x v="2"/>
    <x v="0"/>
    <n v="5"/>
    <n v="4255"/>
    <n v="961.41"/>
  </r>
  <r>
    <x v="481"/>
    <x v="6"/>
    <x v="1"/>
    <x v="0"/>
    <n v="9"/>
    <n v="1341"/>
    <n v="150.69999999999999"/>
  </r>
  <r>
    <x v="482"/>
    <x v="8"/>
    <x v="1"/>
    <x v="0"/>
    <n v="1"/>
    <n v="644"/>
    <n v="49.25"/>
  </r>
  <r>
    <x v="432"/>
    <x v="6"/>
    <x v="1"/>
    <x v="2"/>
    <n v="3"/>
    <n v="1827"/>
    <n v="94.4"/>
  </r>
  <r>
    <x v="217"/>
    <x v="3"/>
    <x v="2"/>
    <x v="0"/>
    <n v="1"/>
    <n v="930"/>
    <n v="136.16"/>
  </r>
  <r>
    <x v="483"/>
    <x v="3"/>
    <x v="2"/>
    <x v="2"/>
    <n v="4"/>
    <n v="528"/>
    <n v="152.80000000000001"/>
  </r>
  <r>
    <x v="484"/>
    <x v="6"/>
    <x v="1"/>
    <x v="2"/>
    <n v="6"/>
    <n v="4236"/>
    <n v="739.22"/>
  </r>
  <r>
    <x v="485"/>
    <x v="4"/>
    <x v="1"/>
    <x v="0"/>
    <n v="4"/>
    <n v="1664"/>
    <n v="190.82"/>
  </r>
  <r>
    <x v="197"/>
    <x v="5"/>
    <x v="2"/>
    <x v="0"/>
    <n v="3"/>
    <n v="2727"/>
    <n v="554.46"/>
  </r>
  <r>
    <x v="89"/>
    <x v="5"/>
    <x v="2"/>
    <x v="0"/>
    <n v="2"/>
    <n v="522"/>
    <n v="52.73"/>
  </r>
  <r>
    <x v="486"/>
    <x v="1"/>
    <x v="1"/>
    <x v="3"/>
    <n v="7"/>
    <n v="8288"/>
    <n v="1945.03"/>
  </r>
  <r>
    <x v="416"/>
    <x v="9"/>
    <x v="2"/>
    <x v="3"/>
    <n v="9"/>
    <n v="1062"/>
    <n v="73.58"/>
  </r>
  <r>
    <x v="487"/>
    <x v="7"/>
    <x v="2"/>
    <x v="1"/>
    <n v="3"/>
    <n v="1140"/>
    <n v="226.52"/>
  </r>
  <r>
    <x v="294"/>
    <x v="8"/>
    <x v="1"/>
    <x v="1"/>
    <n v="8"/>
    <n v="3488"/>
    <n v="712.24"/>
  </r>
  <r>
    <x v="488"/>
    <x v="2"/>
    <x v="2"/>
    <x v="0"/>
    <n v="8"/>
    <n v="5920"/>
    <n v="1436.7"/>
  </r>
  <r>
    <x v="489"/>
    <x v="6"/>
    <x v="1"/>
    <x v="0"/>
    <n v="9"/>
    <n v="3096"/>
    <n v="362.89"/>
  </r>
  <r>
    <x v="348"/>
    <x v="6"/>
    <x v="1"/>
    <x v="2"/>
    <n v="5"/>
    <n v="3490"/>
    <n v="205.04"/>
  </r>
  <r>
    <x v="8"/>
    <x v="5"/>
    <x v="2"/>
    <x v="2"/>
    <n v="6"/>
    <n v="4374"/>
    <n v="702.62"/>
  </r>
  <r>
    <x v="490"/>
    <x v="7"/>
    <x v="2"/>
    <x v="2"/>
    <n v="6"/>
    <n v="3366"/>
    <n v="541.86"/>
  </r>
  <r>
    <x v="491"/>
    <x v="0"/>
    <x v="0"/>
    <x v="1"/>
    <n v="6"/>
    <n v="822"/>
    <n v="231.62"/>
  </r>
  <r>
    <x v="492"/>
    <x v="6"/>
    <x v="1"/>
    <x v="0"/>
    <n v="2"/>
    <n v="340"/>
    <n v="39.119999999999997"/>
  </r>
  <r>
    <x v="493"/>
    <x v="1"/>
    <x v="1"/>
    <x v="1"/>
    <n v="1"/>
    <n v="763"/>
    <n v="217.94"/>
  </r>
  <r>
    <x v="494"/>
    <x v="4"/>
    <x v="1"/>
    <x v="3"/>
    <n v="4"/>
    <n v="3408"/>
    <n v="856.98"/>
  </r>
  <r>
    <x v="495"/>
    <x v="2"/>
    <x v="2"/>
    <x v="3"/>
    <n v="7"/>
    <n v="2282"/>
    <n v="537.71"/>
  </r>
  <r>
    <x v="496"/>
    <x v="3"/>
    <x v="2"/>
    <x v="2"/>
    <n v="7"/>
    <n v="4151"/>
    <n v="1047.43"/>
  </r>
  <r>
    <x v="497"/>
    <x v="9"/>
    <x v="2"/>
    <x v="0"/>
    <n v="7"/>
    <n v="6279"/>
    <n v="1689.55"/>
  </r>
  <r>
    <x v="126"/>
    <x v="6"/>
    <x v="1"/>
    <x v="0"/>
    <n v="3"/>
    <n v="474"/>
    <n v="83.32"/>
  </r>
  <r>
    <x v="498"/>
    <x v="6"/>
    <x v="1"/>
    <x v="3"/>
    <n v="5"/>
    <n v="680"/>
    <n v="176.44"/>
  </r>
  <r>
    <x v="499"/>
    <x v="4"/>
    <x v="1"/>
    <x v="3"/>
    <n v="9"/>
    <n v="8496"/>
    <n v="1721.6"/>
  </r>
  <r>
    <x v="500"/>
    <x v="8"/>
    <x v="1"/>
    <x v="2"/>
    <n v="7"/>
    <n v="7826"/>
    <n v="714.68"/>
  </r>
  <r>
    <x v="126"/>
    <x v="1"/>
    <x v="1"/>
    <x v="2"/>
    <n v="6"/>
    <n v="4014"/>
    <n v="717.44"/>
  </r>
  <r>
    <x v="501"/>
    <x v="9"/>
    <x v="2"/>
    <x v="1"/>
    <n v="1"/>
    <n v="687"/>
    <n v="62.82"/>
  </r>
  <r>
    <x v="502"/>
    <x v="5"/>
    <x v="2"/>
    <x v="2"/>
    <n v="3"/>
    <n v="2943"/>
    <n v="234.27"/>
  </r>
  <r>
    <x v="503"/>
    <x v="0"/>
    <x v="0"/>
    <x v="1"/>
    <n v="7"/>
    <n v="5649"/>
    <n v="660.37"/>
  </r>
  <r>
    <x v="504"/>
    <x v="2"/>
    <x v="2"/>
    <x v="0"/>
    <n v="8"/>
    <n v="3296"/>
    <n v="623.66999999999996"/>
  </r>
  <r>
    <x v="505"/>
    <x v="4"/>
    <x v="1"/>
    <x v="0"/>
    <n v="3"/>
    <n v="1137"/>
    <n v="173.92"/>
  </r>
  <r>
    <x v="361"/>
    <x v="7"/>
    <x v="2"/>
    <x v="0"/>
    <n v="2"/>
    <n v="380"/>
    <n v="101.7"/>
  </r>
  <r>
    <x v="418"/>
    <x v="9"/>
    <x v="2"/>
    <x v="3"/>
    <n v="5"/>
    <n v="4405"/>
    <n v="1247.8599999999999"/>
  </r>
  <r>
    <x v="506"/>
    <x v="2"/>
    <x v="2"/>
    <x v="1"/>
    <n v="1"/>
    <n v="120"/>
    <n v="9.43"/>
  </r>
  <r>
    <x v="347"/>
    <x v="0"/>
    <x v="0"/>
    <x v="1"/>
    <n v="1"/>
    <n v="1176"/>
    <n v="182.07"/>
  </r>
  <r>
    <x v="507"/>
    <x v="3"/>
    <x v="2"/>
    <x v="2"/>
    <n v="3"/>
    <n v="1770"/>
    <n v="366.58"/>
  </r>
  <r>
    <x v="508"/>
    <x v="3"/>
    <x v="2"/>
    <x v="2"/>
    <n v="6"/>
    <n v="4302"/>
    <n v="965.02"/>
  </r>
  <r>
    <x v="453"/>
    <x v="3"/>
    <x v="2"/>
    <x v="0"/>
    <n v="3"/>
    <n v="2988"/>
    <n v="362.68"/>
  </r>
  <r>
    <x v="373"/>
    <x v="4"/>
    <x v="1"/>
    <x v="1"/>
    <n v="3"/>
    <n v="3033"/>
    <n v="458.41"/>
  </r>
  <r>
    <x v="63"/>
    <x v="1"/>
    <x v="1"/>
    <x v="2"/>
    <n v="9"/>
    <n v="6363"/>
    <n v="1752.65"/>
  </r>
  <r>
    <x v="509"/>
    <x v="2"/>
    <x v="2"/>
    <x v="3"/>
    <n v="6"/>
    <n v="3402"/>
    <n v="501.29"/>
  </r>
  <r>
    <x v="510"/>
    <x v="8"/>
    <x v="1"/>
    <x v="2"/>
    <n v="4"/>
    <n v="3496"/>
    <n v="1032.81"/>
  </r>
  <r>
    <x v="511"/>
    <x v="6"/>
    <x v="1"/>
    <x v="1"/>
    <n v="4"/>
    <n v="1080"/>
    <n v="204.95"/>
  </r>
  <r>
    <x v="512"/>
    <x v="4"/>
    <x v="1"/>
    <x v="1"/>
    <n v="6"/>
    <n v="1530"/>
    <n v="218.99"/>
  </r>
  <r>
    <x v="513"/>
    <x v="8"/>
    <x v="1"/>
    <x v="3"/>
    <n v="4"/>
    <n v="3568"/>
    <n v="764.2"/>
  </r>
  <r>
    <x v="514"/>
    <x v="7"/>
    <x v="2"/>
    <x v="3"/>
    <n v="1"/>
    <n v="954"/>
    <n v="48.97"/>
  </r>
  <r>
    <x v="515"/>
    <x v="3"/>
    <x v="2"/>
    <x v="3"/>
    <n v="4"/>
    <n v="1196"/>
    <n v="223.66"/>
  </r>
  <r>
    <x v="516"/>
    <x v="5"/>
    <x v="2"/>
    <x v="0"/>
    <n v="4"/>
    <n v="2136"/>
    <n v="217.47"/>
  </r>
  <r>
    <x v="164"/>
    <x v="0"/>
    <x v="0"/>
    <x v="2"/>
    <n v="9"/>
    <n v="8496"/>
    <n v="2316.0300000000002"/>
  </r>
  <r>
    <x v="517"/>
    <x v="9"/>
    <x v="2"/>
    <x v="3"/>
    <n v="7"/>
    <n v="7280"/>
    <n v="1450.82"/>
  </r>
  <r>
    <x v="440"/>
    <x v="5"/>
    <x v="2"/>
    <x v="2"/>
    <n v="5"/>
    <n v="4935"/>
    <n v="625.39"/>
  </r>
  <r>
    <x v="518"/>
    <x v="2"/>
    <x v="2"/>
    <x v="2"/>
    <n v="8"/>
    <n v="9056"/>
    <n v="872.48"/>
  </r>
  <r>
    <x v="519"/>
    <x v="5"/>
    <x v="2"/>
    <x v="2"/>
    <n v="1"/>
    <n v="563"/>
    <n v="46.96"/>
  </r>
  <r>
    <x v="204"/>
    <x v="0"/>
    <x v="0"/>
    <x v="2"/>
    <n v="2"/>
    <n v="1570"/>
    <n v="247.7"/>
  </r>
  <r>
    <x v="520"/>
    <x v="3"/>
    <x v="2"/>
    <x v="0"/>
    <n v="3"/>
    <n v="2181"/>
    <n v="517.02"/>
  </r>
  <r>
    <x v="407"/>
    <x v="1"/>
    <x v="1"/>
    <x v="0"/>
    <n v="4"/>
    <n v="3808"/>
    <n v="442.33"/>
  </r>
  <r>
    <x v="521"/>
    <x v="8"/>
    <x v="1"/>
    <x v="3"/>
    <n v="7"/>
    <n v="6552"/>
    <n v="635.09"/>
  </r>
  <r>
    <x v="522"/>
    <x v="9"/>
    <x v="2"/>
    <x v="2"/>
    <n v="8"/>
    <n v="6544"/>
    <n v="1086.29"/>
  </r>
  <r>
    <x v="523"/>
    <x v="1"/>
    <x v="1"/>
    <x v="3"/>
    <n v="3"/>
    <n v="2631"/>
    <n v="157.19"/>
  </r>
  <r>
    <x v="524"/>
    <x v="6"/>
    <x v="1"/>
    <x v="3"/>
    <n v="9"/>
    <n v="945"/>
    <n v="94.75"/>
  </r>
  <r>
    <x v="525"/>
    <x v="6"/>
    <x v="1"/>
    <x v="3"/>
    <n v="2"/>
    <n v="760"/>
    <n v="192.42"/>
  </r>
  <r>
    <x v="526"/>
    <x v="6"/>
    <x v="1"/>
    <x v="0"/>
    <n v="4"/>
    <n v="1392"/>
    <n v="394.48"/>
  </r>
  <r>
    <x v="527"/>
    <x v="5"/>
    <x v="2"/>
    <x v="1"/>
    <n v="3"/>
    <n v="1242"/>
    <n v="206.74"/>
  </r>
  <r>
    <x v="528"/>
    <x v="9"/>
    <x v="2"/>
    <x v="1"/>
    <n v="3"/>
    <n v="3183"/>
    <n v="868.73"/>
  </r>
  <r>
    <x v="529"/>
    <x v="6"/>
    <x v="1"/>
    <x v="3"/>
    <n v="5"/>
    <n v="4260"/>
    <n v="229.77"/>
  </r>
  <r>
    <x v="530"/>
    <x v="7"/>
    <x v="2"/>
    <x v="3"/>
    <n v="1"/>
    <n v="1041"/>
    <n v="132.46"/>
  </r>
  <r>
    <x v="531"/>
    <x v="5"/>
    <x v="2"/>
    <x v="1"/>
    <n v="3"/>
    <n v="1692"/>
    <n v="348.81"/>
  </r>
  <r>
    <x v="532"/>
    <x v="3"/>
    <x v="2"/>
    <x v="0"/>
    <n v="4"/>
    <n v="1728"/>
    <n v="403.06"/>
  </r>
  <r>
    <x v="533"/>
    <x v="3"/>
    <x v="2"/>
    <x v="2"/>
    <n v="4"/>
    <n v="4484"/>
    <n v="893.27"/>
  </r>
  <r>
    <x v="534"/>
    <x v="7"/>
    <x v="2"/>
    <x v="1"/>
    <n v="7"/>
    <n v="4123"/>
    <n v="750.05"/>
  </r>
  <r>
    <x v="327"/>
    <x v="1"/>
    <x v="1"/>
    <x v="1"/>
    <n v="2"/>
    <n v="2372"/>
    <n v="392.07"/>
  </r>
  <r>
    <x v="498"/>
    <x v="7"/>
    <x v="2"/>
    <x v="1"/>
    <n v="7"/>
    <n v="5201"/>
    <n v="745.2"/>
  </r>
  <r>
    <x v="352"/>
    <x v="1"/>
    <x v="1"/>
    <x v="2"/>
    <n v="5"/>
    <n v="3100"/>
    <n v="695.28"/>
  </r>
  <r>
    <x v="535"/>
    <x v="5"/>
    <x v="2"/>
    <x v="1"/>
    <n v="6"/>
    <n v="5292"/>
    <n v="1105.95"/>
  </r>
  <r>
    <x v="536"/>
    <x v="2"/>
    <x v="2"/>
    <x v="2"/>
    <n v="6"/>
    <n v="5952"/>
    <n v="971.53"/>
  </r>
  <r>
    <x v="537"/>
    <x v="7"/>
    <x v="2"/>
    <x v="1"/>
    <n v="4"/>
    <n v="1932"/>
    <n v="472.91"/>
  </r>
  <r>
    <x v="19"/>
    <x v="2"/>
    <x v="2"/>
    <x v="3"/>
    <n v="6"/>
    <n v="3486"/>
    <n v="1011.74"/>
  </r>
  <r>
    <x v="538"/>
    <x v="2"/>
    <x v="2"/>
    <x v="3"/>
    <n v="2"/>
    <n v="1708"/>
    <n v="441.43"/>
  </r>
  <r>
    <x v="393"/>
    <x v="6"/>
    <x v="1"/>
    <x v="2"/>
    <n v="4"/>
    <n v="4324"/>
    <n v="288.12"/>
  </r>
  <r>
    <x v="539"/>
    <x v="9"/>
    <x v="2"/>
    <x v="2"/>
    <n v="4"/>
    <n v="2708"/>
    <n v="302.14"/>
  </r>
  <r>
    <x v="540"/>
    <x v="0"/>
    <x v="0"/>
    <x v="3"/>
    <n v="8"/>
    <n v="7944"/>
    <n v="1142.83"/>
  </r>
  <r>
    <x v="434"/>
    <x v="3"/>
    <x v="2"/>
    <x v="1"/>
    <n v="3"/>
    <n v="684"/>
    <n v="39.33"/>
  </r>
  <r>
    <x v="313"/>
    <x v="0"/>
    <x v="0"/>
    <x v="3"/>
    <n v="9"/>
    <n v="5904"/>
    <n v="1440.45"/>
  </r>
  <r>
    <x v="541"/>
    <x v="0"/>
    <x v="0"/>
    <x v="2"/>
    <n v="5"/>
    <n v="4970"/>
    <n v="1080.1199999999999"/>
  </r>
  <r>
    <x v="542"/>
    <x v="4"/>
    <x v="1"/>
    <x v="3"/>
    <n v="2"/>
    <n v="2288"/>
    <n v="234.97"/>
  </r>
  <r>
    <x v="21"/>
    <x v="7"/>
    <x v="2"/>
    <x v="1"/>
    <n v="6"/>
    <n v="4662"/>
    <n v="350.79"/>
  </r>
  <r>
    <x v="543"/>
    <x v="1"/>
    <x v="1"/>
    <x v="1"/>
    <n v="4"/>
    <n v="2532"/>
    <n v="404.96"/>
  </r>
  <r>
    <x v="221"/>
    <x v="2"/>
    <x v="2"/>
    <x v="2"/>
    <n v="8"/>
    <n v="9328"/>
    <n v="1008.6"/>
  </r>
  <r>
    <x v="272"/>
    <x v="0"/>
    <x v="0"/>
    <x v="0"/>
    <n v="1"/>
    <n v="686"/>
    <n v="86.18"/>
  </r>
  <r>
    <x v="544"/>
    <x v="5"/>
    <x v="2"/>
    <x v="2"/>
    <n v="6"/>
    <n v="1290"/>
    <n v="343.35"/>
  </r>
  <r>
    <x v="356"/>
    <x v="0"/>
    <x v="0"/>
    <x v="3"/>
    <n v="5"/>
    <n v="1205"/>
    <n v="235.19"/>
  </r>
  <r>
    <x v="545"/>
    <x v="4"/>
    <x v="1"/>
    <x v="2"/>
    <n v="7"/>
    <n v="7966"/>
    <n v="1313.56"/>
  </r>
  <r>
    <x v="201"/>
    <x v="3"/>
    <x v="2"/>
    <x v="0"/>
    <n v="7"/>
    <n v="1085"/>
    <n v="130.72"/>
  </r>
  <r>
    <x v="248"/>
    <x v="6"/>
    <x v="1"/>
    <x v="3"/>
    <n v="9"/>
    <n v="6633"/>
    <n v="1239.1099999999999"/>
  </r>
  <r>
    <x v="546"/>
    <x v="9"/>
    <x v="2"/>
    <x v="0"/>
    <n v="7"/>
    <n v="5096"/>
    <n v="971.5"/>
  </r>
  <r>
    <x v="547"/>
    <x v="2"/>
    <x v="2"/>
    <x v="1"/>
    <n v="4"/>
    <n v="4120"/>
    <n v="710.07"/>
  </r>
  <r>
    <x v="548"/>
    <x v="6"/>
    <x v="1"/>
    <x v="3"/>
    <n v="3"/>
    <n v="1479"/>
    <n v="207.58"/>
  </r>
  <r>
    <x v="549"/>
    <x v="7"/>
    <x v="2"/>
    <x v="3"/>
    <n v="7"/>
    <n v="1652"/>
    <n v="397.49"/>
  </r>
  <r>
    <x v="331"/>
    <x v="9"/>
    <x v="2"/>
    <x v="2"/>
    <n v="1"/>
    <n v="1028"/>
    <n v="240.61"/>
  </r>
  <r>
    <x v="550"/>
    <x v="6"/>
    <x v="1"/>
    <x v="1"/>
    <n v="4"/>
    <n v="4580"/>
    <n v="655.14"/>
  </r>
  <r>
    <x v="551"/>
    <x v="6"/>
    <x v="1"/>
    <x v="2"/>
    <n v="8"/>
    <n v="2152"/>
    <n v="196.53"/>
  </r>
  <r>
    <x v="509"/>
    <x v="6"/>
    <x v="1"/>
    <x v="2"/>
    <n v="6"/>
    <n v="4566"/>
    <n v="866.13"/>
  </r>
  <r>
    <x v="552"/>
    <x v="4"/>
    <x v="1"/>
    <x v="1"/>
    <n v="3"/>
    <n v="2244"/>
    <n v="301.52999999999997"/>
  </r>
  <r>
    <x v="69"/>
    <x v="1"/>
    <x v="1"/>
    <x v="3"/>
    <n v="4"/>
    <n v="1344"/>
    <n v="140.52000000000001"/>
  </r>
  <r>
    <x v="487"/>
    <x v="0"/>
    <x v="0"/>
    <x v="2"/>
    <n v="6"/>
    <n v="2622"/>
    <n v="131.53"/>
  </r>
  <r>
    <x v="553"/>
    <x v="7"/>
    <x v="2"/>
    <x v="2"/>
    <n v="1"/>
    <n v="325"/>
    <n v="46.84"/>
  </r>
  <r>
    <x v="61"/>
    <x v="8"/>
    <x v="1"/>
    <x v="3"/>
    <n v="1"/>
    <n v="960"/>
    <n v="95.88"/>
  </r>
  <r>
    <x v="554"/>
    <x v="7"/>
    <x v="2"/>
    <x v="0"/>
    <n v="7"/>
    <n v="2639"/>
    <n v="268.88"/>
  </r>
  <r>
    <x v="230"/>
    <x v="0"/>
    <x v="0"/>
    <x v="2"/>
    <n v="5"/>
    <n v="1025"/>
    <n v="246.15"/>
  </r>
  <r>
    <x v="555"/>
    <x v="6"/>
    <x v="1"/>
    <x v="3"/>
    <n v="2"/>
    <n v="1924"/>
    <n v="434.86"/>
  </r>
  <r>
    <x v="556"/>
    <x v="7"/>
    <x v="2"/>
    <x v="0"/>
    <n v="2"/>
    <n v="1660"/>
    <n v="362.88"/>
  </r>
  <r>
    <x v="369"/>
    <x v="0"/>
    <x v="0"/>
    <x v="0"/>
    <n v="1"/>
    <n v="985"/>
    <n v="105.09"/>
  </r>
  <r>
    <x v="340"/>
    <x v="8"/>
    <x v="1"/>
    <x v="0"/>
    <n v="5"/>
    <n v="2600"/>
    <n v="537.11"/>
  </r>
  <r>
    <x v="257"/>
    <x v="3"/>
    <x v="2"/>
    <x v="3"/>
    <n v="4"/>
    <n v="2792"/>
    <n v="725.35"/>
  </r>
  <r>
    <x v="557"/>
    <x v="4"/>
    <x v="1"/>
    <x v="0"/>
    <n v="2"/>
    <n v="378"/>
    <n v="87.37"/>
  </r>
  <r>
    <x v="118"/>
    <x v="3"/>
    <x v="2"/>
    <x v="3"/>
    <n v="8"/>
    <n v="968"/>
    <n v="271.61"/>
  </r>
  <r>
    <x v="446"/>
    <x v="5"/>
    <x v="2"/>
    <x v="0"/>
    <n v="3"/>
    <n v="564"/>
    <n v="108.35"/>
  </r>
  <r>
    <x v="297"/>
    <x v="9"/>
    <x v="2"/>
    <x v="2"/>
    <n v="5"/>
    <n v="2365"/>
    <n v="667.61"/>
  </r>
  <r>
    <x v="330"/>
    <x v="7"/>
    <x v="2"/>
    <x v="3"/>
    <n v="6"/>
    <n v="3252"/>
    <n v="834.84"/>
  </r>
  <r>
    <x v="387"/>
    <x v="3"/>
    <x v="2"/>
    <x v="0"/>
    <n v="1"/>
    <n v="276"/>
    <n v="42.68"/>
  </r>
  <r>
    <x v="229"/>
    <x v="1"/>
    <x v="1"/>
    <x v="3"/>
    <n v="3"/>
    <n v="3408"/>
    <n v="205.76"/>
  </r>
  <r>
    <x v="199"/>
    <x v="9"/>
    <x v="2"/>
    <x v="1"/>
    <n v="6"/>
    <n v="1398"/>
    <n v="180.88"/>
  </r>
  <r>
    <x v="558"/>
    <x v="8"/>
    <x v="1"/>
    <x v="0"/>
    <n v="4"/>
    <n v="904"/>
    <n v="108.85"/>
  </r>
  <r>
    <x v="5"/>
    <x v="8"/>
    <x v="1"/>
    <x v="2"/>
    <n v="1"/>
    <n v="1178"/>
    <n v="161.06"/>
  </r>
  <r>
    <x v="559"/>
    <x v="4"/>
    <x v="1"/>
    <x v="3"/>
    <n v="3"/>
    <n v="2535"/>
    <n v="292.19"/>
  </r>
  <r>
    <x v="560"/>
    <x v="2"/>
    <x v="2"/>
    <x v="3"/>
    <n v="1"/>
    <n v="496"/>
    <n v="146.91999999999999"/>
  </r>
  <r>
    <x v="561"/>
    <x v="7"/>
    <x v="2"/>
    <x v="3"/>
    <n v="4"/>
    <n v="3888"/>
    <n v="284.17"/>
  </r>
  <r>
    <x v="416"/>
    <x v="2"/>
    <x v="2"/>
    <x v="1"/>
    <n v="7"/>
    <n v="4921"/>
    <n v="798.16"/>
  </r>
  <r>
    <x v="562"/>
    <x v="5"/>
    <x v="2"/>
    <x v="3"/>
    <n v="8"/>
    <n v="4472"/>
    <n v="290.79000000000002"/>
  </r>
  <r>
    <x v="32"/>
    <x v="2"/>
    <x v="2"/>
    <x v="0"/>
    <n v="3"/>
    <n v="603"/>
    <n v="153.37"/>
  </r>
  <r>
    <x v="563"/>
    <x v="4"/>
    <x v="1"/>
    <x v="3"/>
    <n v="9"/>
    <n v="1899"/>
    <n v="501.4"/>
  </r>
  <r>
    <x v="564"/>
    <x v="0"/>
    <x v="0"/>
    <x v="0"/>
    <n v="4"/>
    <n v="544"/>
    <n v="67.84"/>
  </r>
  <r>
    <x v="282"/>
    <x v="6"/>
    <x v="1"/>
    <x v="0"/>
    <n v="9"/>
    <n v="6471"/>
    <n v="1844.59"/>
  </r>
  <r>
    <x v="565"/>
    <x v="8"/>
    <x v="1"/>
    <x v="0"/>
    <n v="1"/>
    <n v="677"/>
    <n v="54.14"/>
  </r>
  <r>
    <x v="566"/>
    <x v="9"/>
    <x v="2"/>
    <x v="2"/>
    <n v="4"/>
    <n v="1372"/>
    <n v="302.58"/>
  </r>
  <r>
    <x v="567"/>
    <x v="8"/>
    <x v="1"/>
    <x v="0"/>
    <n v="9"/>
    <n v="7542"/>
    <n v="1477.49"/>
  </r>
  <r>
    <x v="498"/>
    <x v="6"/>
    <x v="1"/>
    <x v="3"/>
    <n v="1"/>
    <n v="924"/>
    <n v="125.65"/>
  </r>
  <r>
    <x v="568"/>
    <x v="7"/>
    <x v="2"/>
    <x v="1"/>
    <n v="5"/>
    <n v="3940"/>
    <n v="755.11"/>
  </r>
  <r>
    <x v="220"/>
    <x v="2"/>
    <x v="2"/>
    <x v="3"/>
    <n v="2"/>
    <n v="374"/>
    <n v="49.26"/>
  </r>
  <r>
    <x v="569"/>
    <x v="0"/>
    <x v="0"/>
    <x v="0"/>
    <n v="5"/>
    <n v="1800"/>
    <n v="252.69"/>
  </r>
  <r>
    <x v="570"/>
    <x v="6"/>
    <x v="1"/>
    <x v="3"/>
    <n v="5"/>
    <n v="3170"/>
    <n v="868.34"/>
  </r>
  <r>
    <x v="571"/>
    <x v="4"/>
    <x v="1"/>
    <x v="0"/>
    <n v="7"/>
    <n v="5362"/>
    <n v="1029.47"/>
  </r>
  <r>
    <x v="572"/>
    <x v="6"/>
    <x v="1"/>
    <x v="1"/>
    <n v="9"/>
    <n v="5976"/>
    <n v="1747.57"/>
  </r>
  <r>
    <x v="573"/>
    <x v="8"/>
    <x v="1"/>
    <x v="0"/>
    <n v="9"/>
    <n v="8514"/>
    <n v="1400.4"/>
  </r>
  <r>
    <x v="574"/>
    <x v="9"/>
    <x v="2"/>
    <x v="2"/>
    <n v="1"/>
    <n v="810"/>
    <n v="157.47"/>
  </r>
  <r>
    <x v="449"/>
    <x v="1"/>
    <x v="1"/>
    <x v="2"/>
    <n v="1"/>
    <n v="71"/>
    <n v="12.02"/>
  </r>
  <r>
    <x v="575"/>
    <x v="9"/>
    <x v="2"/>
    <x v="0"/>
    <n v="1"/>
    <n v="651"/>
    <n v="57.94"/>
  </r>
  <r>
    <x v="576"/>
    <x v="6"/>
    <x v="1"/>
    <x v="0"/>
    <n v="3"/>
    <n v="1245"/>
    <n v="119.11"/>
  </r>
  <r>
    <x v="577"/>
    <x v="6"/>
    <x v="1"/>
    <x v="3"/>
    <n v="1"/>
    <n v="464"/>
    <n v="58.38"/>
  </r>
  <r>
    <x v="17"/>
    <x v="6"/>
    <x v="1"/>
    <x v="0"/>
    <n v="5"/>
    <n v="5155"/>
    <n v="356.43"/>
  </r>
  <r>
    <x v="25"/>
    <x v="7"/>
    <x v="2"/>
    <x v="1"/>
    <n v="5"/>
    <n v="5175"/>
    <n v="786.27"/>
  </r>
  <r>
    <x v="555"/>
    <x v="7"/>
    <x v="2"/>
    <x v="1"/>
    <n v="2"/>
    <n v="1668"/>
    <n v="470.42"/>
  </r>
  <r>
    <x v="58"/>
    <x v="0"/>
    <x v="0"/>
    <x v="1"/>
    <n v="3"/>
    <n v="1872"/>
    <n v="532.80999999999995"/>
  </r>
  <r>
    <x v="283"/>
    <x v="9"/>
    <x v="2"/>
    <x v="0"/>
    <n v="3"/>
    <n v="513"/>
    <n v="132.56"/>
  </r>
  <r>
    <x v="75"/>
    <x v="0"/>
    <x v="0"/>
    <x v="3"/>
    <n v="2"/>
    <n v="2276"/>
    <n v="366.5"/>
  </r>
  <r>
    <x v="240"/>
    <x v="1"/>
    <x v="1"/>
    <x v="3"/>
    <n v="4"/>
    <n v="3428"/>
    <n v="305.79000000000002"/>
  </r>
  <r>
    <x v="578"/>
    <x v="8"/>
    <x v="1"/>
    <x v="1"/>
    <n v="2"/>
    <n v="1640"/>
    <n v="176.87"/>
  </r>
  <r>
    <x v="538"/>
    <x v="3"/>
    <x v="2"/>
    <x v="1"/>
    <n v="7"/>
    <n v="7077"/>
    <n v="1921.73"/>
  </r>
  <r>
    <x v="85"/>
    <x v="0"/>
    <x v="0"/>
    <x v="2"/>
    <n v="9"/>
    <n v="9225"/>
    <n v="1391.15"/>
  </r>
  <r>
    <x v="451"/>
    <x v="1"/>
    <x v="1"/>
    <x v="2"/>
    <n v="5"/>
    <n v="3910"/>
    <n v="584.77"/>
  </r>
  <r>
    <x v="175"/>
    <x v="0"/>
    <x v="0"/>
    <x v="3"/>
    <n v="5"/>
    <n v="1995"/>
    <n v="369.22"/>
  </r>
  <r>
    <x v="579"/>
    <x v="8"/>
    <x v="1"/>
    <x v="0"/>
    <n v="7"/>
    <n v="385"/>
    <n v="43.43"/>
  </r>
  <r>
    <x v="580"/>
    <x v="1"/>
    <x v="1"/>
    <x v="1"/>
    <n v="4"/>
    <n v="4316"/>
    <n v="566.70000000000005"/>
  </r>
  <r>
    <x v="74"/>
    <x v="5"/>
    <x v="2"/>
    <x v="0"/>
    <n v="1"/>
    <n v="1169"/>
    <n v="340.69"/>
  </r>
  <r>
    <x v="367"/>
    <x v="4"/>
    <x v="1"/>
    <x v="1"/>
    <n v="5"/>
    <n v="2325"/>
    <n v="506.32"/>
  </r>
  <r>
    <x v="226"/>
    <x v="6"/>
    <x v="1"/>
    <x v="0"/>
    <n v="1"/>
    <n v="199"/>
    <n v="48.92"/>
  </r>
  <r>
    <x v="581"/>
    <x v="5"/>
    <x v="2"/>
    <x v="2"/>
    <n v="3"/>
    <n v="375"/>
    <n v="80.58"/>
  </r>
  <r>
    <x v="582"/>
    <x v="9"/>
    <x v="2"/>
    <x v="1"/>
    <n v="9"/>
    <n v="8010"/>
    <n v="763.32"/>
  </r>
  <r>
    <x v="564"/>
    <x v="1"/>
    <x v="1"/>
    <x v="1"/>
    <n v="4"/>
    <n v="316"/>
    <n v="77.13"/>
  </r>
  <r>
    <x v="583"/>
    <x v="3"/>
    <x v="2"/>
    <x v="2"/>
    <n v="9"/>
    <n v="5895"/>
    <n v="442.49"/>
  </r>
  <r>
    <x v="584"/>
    <x v="4"/>
    <x v="1"/>
    <x v="1"/>
    <n v="4"/>
    <n v="388"/>
    <n v="35.21"/>
  </r>
  <r>
    <x v="585"/>
    <x v="1"/>
    <x v="1"/>
    <x v="3"/>
    <n v="5"/>
    <n v="3670"/>
    <n v="462.97"/>
  </r>
  <r>
    <x v="478"/>
    <x v="7"/>
    <x v="2"/>
    <x v="1"/>
    <n v="9"/>
    <n v="7731"/>
    <n v="2178.0500000000002"/>
  </r>
  <r>
    <x v="586"/>
    <x v="9"/>
    <x v="2"/>
    <x v="2"/>
    <n v="3"/>
    <n v="1596"/>
    <n v="91.23"/>
  </r>
  <r>
    <x v="552"/>
    <x v="3"/>
    <x v="2"/>
    <x v="1"/>
    <n v="4"/>
    <n v="4192"/>
    <n v="216.16"/>
  </r>
  <r>
    <x v="587"/>
    <x v="2"/>
    <x v="2"/>
    <x v="3"/>
    <n v="7"/>
    <n v="5264"/>
    <n v="756.33"/>
  </r>
  <r>
    <x v="388"/>
    <x v="9"/>
    <x v="2"/>
    <x v="0"/>
    <n v="1"/>
    <n v="425"/>
    <n v="48.81"/>
  </r>
  <r>
    <x v="81"/>
    <x v="5"/>
    <x v="2"/>
    <x v="0"/>
    <n v="4"/>
    <n v="3380"/>
    <n v="211.72"/>
  </r>
  <r>
    <x v="588"/>
    <x v="0"/>
    <x v="0"/>
    <x v="1"/>
    <n v="7"/>
    <n v="8379"/>
    <n v="2009.05"/>
  </r>
  <r>
    <x v="408"/>
    <x v="8"/>
    <x v="1"/>
    <x v="0"/>
    <n v="4"/>
    <n v="2040"/>
    <n v="393.72"/>
  </r>
  <r>
    <x v="57"/>
    <x v="0"/>
    <x v="0"/>
    <x v="1"/>
    <n v="4"/>
    <n v="1336"/>
    <n v="116.65"/>
  </r>
  <r>
    <x v="589"/>
    <x v="8"/>
    <x v="1"/>
    <x v="2"/>
    <n v="2"/>
    <n v="1934"/>
    <n v="157.41"/>
  </r>
  <r>
    <x v="549"/>
    <x v="8"/>
    <x v="1"/>
    <x v="2"/>
    <n v="3"/>
    <n v="1560"/>
    <n v="391.11"/>
  </r>
  <r>
    <x v="241"/>
    <x v="8"/>
    <x v="1"/>
    <x v="0"/>
    <n v="6"/>
    <n v="4446"/>
    <n v="1217.8599999999999"/>
  </r>
  <r>
    <x v="278"/>
    <x v="0"/>
    <x v="0"/>
    <x v="3"/>
    <n v="3"/>
    <n v="1893"/>
    <n v="508.8"/>
  </r>
  <r>
    <x v="562"/>
    <x v="3"/>
    <x v="2"/>
    <x v="1"/>
    <n v="4"/>
    <n v="4492"/>
    <n v="670.42"/>
  </r>
  <r>
    <x v="212"/>
    <x v="1"/>
    <x v="1"/>
    <x v="2"/>
    <n v="6"/>
    <n v="6228"/>
    <n v="1852.45"/>
  </r>
  <r>
    <x v="590"/>
    <x v="3"/>
    <x v="2"/>
    <x v="1"/>
    <n v="7"/>
    <n v="4403"/>
    <n v="1295.8900000000001"/>
  </r>
  <r>
    <x v="591"/>
    <x v="4"/>
    <x v="1"/>
    <x v="2"/>
    <n v="9"/>
    <n v="4176"/>
    <n v="510.97"/>
  </r>
  <r>
    <x v="82"/>
    <x v="8"/>
    <x v="1"/>
    <x v="3"/>
    <n v="2"/>
    <n v="486"/>
    <n v="64.430000000000007"/>
  </r>
  <r>
    <x v="255"/>
    <x v="0"/>
    <x v="0"/>
    <x v="1"/>
    <n v="5"/>
    <n v="4880"/>
    <n v="1084.69"/>
  </r>
  <r>
    <x v="592"/>
    <x v="0"/>
    <x v="0"/>
    <x v="3"/>
    <n v="5"/>
    <n v="265"/>
    <n v="53.21"/>
  </r>
  <r>
    <x v="593"/>
    <x v="9"/>
    <x v="2"/>
    <x v="1"/>
    <n v="1"/>
    <n v="1041"/>
    <n v="128.58000000000001"/>
  </r>
  <r>
    <x v="594"/>
    <x v="7"/>
    <x v="2"/>
    <x v="1"/>
    <n v="8"/>
    <n v="9448"/>
    <n v="616.5"/>
  </r>
  <r>
    <x v="595"/>
    <x v="4"/>
    <x v="1"/>
    <x v="2"/>
    <n v="3"/>
    <n v="1617"/>
    <n v="440.46"/>
  </r>
  <r>
    <x v="298"/>
    <x v="9"/>
    <x v="2"/>
    <x v="3"/>
    <n v="2"/>
    <n v="1486"/>
    <n v="233.7"/>
  </r>
  <r>
    <x v="596"/>
    <x v="5"/>
    <x v="2"/>
    <x v="1"/>
    <n v="8"/>
    <n v="7152"/>
    <n v="1539.72"/>
  </r>
  <r>
    <x v="597"/>
    <x v="1"/>
    <x v="1"/>
    <x v="1"/>
    <n v="6"/>
    <n v="1404"/>
    <n v="368.36"/>
  </r>
  <r>
    <x v="138"/>
    <x v="3"/>
    <x v="2"/>
    <x v="2"/>
    <n v="2"/>
    <n v="122"/>
    <n v="16.23"/>
  </r>
  <r>
    <x v="598"/>
    <x v="3"/>
    <x v="2"/>
    <x v="0"/>
    <n v="9"/>
    <n v="7533"/>
    <n v="1285.72"/>
  </r>
  <r>
    <x v="476"/>
    <x v="4"/>
    <x v="1"/>
    <x v="2"/>
    <n v="4"/>
    <n v="3888"/>
    <n v="810.08"/>
  </r>
  <r>
    <x v="528"/>
    <x v="7"/>
    <x v="2"/>
    <x v="2"/>
    <n v="5"/>
    <n v="870"/>
    <n v="48.87"/>
  </r>
  <r>
    <x v="380"/>
    <x v="1"/>
    <x v="1"/>
    <x v="2"/>
    <n v="2"/>
    <n v="1446"/>
    <n v="403.89"/>
  </r>
  <r>
    <x v="599"/>
    <x v="2"/>
    <x v="2"/>
    <x v="2"/>
    <n v="6"/>
    <n v="510"/>
    <n v="151.91"/>
  </r>
  <r>
    <x v="600"/>
    <x v="8"/>
    <x v="1"/>
    <x v="3"/>
    <n v="8"/>
    <n v="6224"/>
    <n v="790.27"/>
  </r>
  <r>
    <x v="526"/>
    <x v="8"/>
    <x v="1"/>
    <x v="0"/>
    <n v="2"/>
    <n v="686"/>
    <n v="85.03"/>
  </r>
  <r>
    <x v="25"/>
    <x v="1"/>
    <x v="1"/>
    <x v="3"/>
    <n v="4"/>
    <n v="2840"/>
    <n v="591.94000000000005"/>
  </r>
  <r>
    <x v="477"/>
    <x v="9"/>
    <x v="2"/>
    <x v="2"/>
    <n v="7"/>
    <n v="2562"/>
    <n v="347.62"/>
  </r>
  <r>
    <x v="28"/>
    <x v="7"/>
    <x v="2"/>
    <x v="3"/>
    <n v="5"/>
    <n v="790"/>
    <n v="216.12"/>
  </r>
  <r>
    <x v="24"/>
    <x v="9"/>
    <x v="2"/>
    <x v="1"/>
    <n v="5"/>
    <n v="4170"/>
    <n v="786.42"/>
  </r>
  <r>
    <x v="601"/>
    <x v="2"/>
    <x v="2"/>
    <x v="1"/>
    <n v="4"/>
    <n v="1360"/>
    <n v="373.59"/>
  </r>
  <r>
    <x v="576"/>
    <x v="3"/>
    <x v="2"/>
    <x v="1"/>
    <n v="6"/>
    <n v="5316"/>
    <n v="782.42"/>
  </r>
  <r>
    <x v="50"/>
    <x v="9"/>
    <x v="2"/>
    <x v="3"/>
    <n v="4"/>
    <n v="3956"/>
    <n v="293.38"/>
  </r>
  <r>
    <x v="255"/>
    <x v="6"/>
    <x v="1"/>
    <x v="0"/>
    <n v="3"/>
    <n v="726"/>
    <n v="94.38"/>
  </r>
  <r>
    <x v="218"/>
    <x v="7"/>
    <x v="2"/>
    <x v="0"/>
    <n v="4"/>
    <n v="228"/>
    <n v="29.37"/>
  </r>
  <r>
    <x v="462"/>
    <x v="4"/>
    <x v="1"/>
    <x v="0"/>
    <n v="3"/>
    <n v="2274"/>
    <n v="442.57"/>
  </r>
  <r>
    <x v="602"/>
    <x v="8"/>
    <x v="1"/>
    <x v="0"/>
    <n v="9"/>
    <n v="2628"/>
    <n v="459.87"/>
  </r>
  <r>
    <x v="603"/>
    <x v="3"/>
    <x v="2"/>
    <x v="2"/>
    <n v="6"/>
    <n v="606"/>
    <n v="104.85"/>
  </r>
  <r>
    <x v="131"/>
    <x v="4"/>
    <x v="1"/>
    <x v="1"/>
    <n v="8"/>
    <n v="7256"/>
    <n v="558.79"/>
  </r>
  <r>
    <x v="604"/>
    <x v="3"/>
    <x v="2"/>
    <x v="3"/>
    <n v="4"/>
    <n v="1956"/>
    <n v="125.69"/>
  </r>
  <r>
    <x v="295"/>
    <x v="0"/>
    <x v="0"/>
    <x v="2"/>
    <n v="6"/>
    <n v="3954"/>
    <n v="690.1"/>
  </r>
  <r>
    <x v="351"/>
    <x v="8"/>
    <x v="1"/>
    <x v="1"/>
    <n v="6"/>
    <n v="2262"/>
    <n v="442.86"/>
  </r>
  <r>
    <x v="483"/>
    <x v="0"/>
    <x v="0"/>
    <x v="0"/>
    <n v="4"/>
    <n v="2804"/>
    <n v="391.59"/>
  </r>
  <r>
    <x v="605"/>
    <x v="2"/>
    <x v="2"/>
    <x v="2"/>
    <n v="9"/>
    <n v="5850"/>
    <n v="1511.06"/>
  </r>
  <r>
    <x v="606"/>
    <x v="8"/>
    <x v="1"/>
    <x v="3"/>
    <n v="1"/>
    <n v="56"/>
    <n v="9.16"/>
  </r>
  <r>
    <x v="607"/>
    <x v="6"/>
    <x v="1"/>
    <x v="1"/>
    <n v="9"/>
    <n v="4302"/>
    <n v="344.64"/>
  </r>
  <r>
    <x v="146"/>
    <x v="3"/>
    <x v="2"/>
    <x v="3"/>
    <n v="9"/>
    <n v="10143"/>
    <n v="1690.66"/>
  </r>
  <r>
    <x v="332"/>
    <x v="4"/>
    <x v="1"/>
    <x v="0"/>
    <n v="1"/>
    <n v="1012"/>
    <n v="164.89"/>
  </r>
  <r>
    <x v="608"/>
    <x v="2"/>
    <x v="2"/>
    <x v="1"/>
    <n v="9"/>
    <n v="8964"/>
    <n v="448.62"/>
  </r>
  <r>
    <x v="87"/>
    <x v="1"/>
    <x v="1"/>
    <x v="2"/>
    <n v="6"/>
    <n v="1758"/>
    <n v="262.36"/>
  </r>
  <r>
    <x v="305"/>
    <x v="0"/>
    <x v="0"/>
    <x v="0"/>
    <n v="6"/>
    <n v="6348"/>
    <n v="557.72"/>
  </r>
  <r>
    <x v="609"/>
    <x v="0"/>
    <x v="0"/>
    <x v="0"/>
    <n v="2"/>
    <n v="1582"/>
    <n v="422.46"/>
  </r>
  <r>
    <x v="97"/>
    <x v="1"/>
    <x v="1"/>
    <x v="2"/>
    <n v="2"/>
    <n v="1924"/>
    <n v="394.4"/>
  </r>
  <r>
    <x v="610"/>
    <x v="8"/>
    <x v="1"/>
    <x v="0"/>
    <n v="1"/>
    <n v="120"/>
    <n v="23.86"/>
  </r>
  <r>
    <x v="611"/>
    <x v="4"/>
    <x v="1"/>
    <x v="1"/>
    <n v="8"/>
    <n v="7752"/>
    <n v="1943.84"/>
  </r>
  <r>
    <x v="442"/>
    <x v="3"/>
    <x v="2"/>
    <x v="1"/>
    <n v="2"/>
    <n v="1114"/>
    <n v="300.44"/>
  </r>
  <r>
    <x v="271"/>
    <x v="8"/>
    <x v="1"/>
    <x v="0"/>
    <n v="5"/>
    <n v="1765"/>
    <n v="229.06"/>
  </r>
  <r>
    <x v="612"/>
    <x v="8"/>
    <x v="1"/>
    <x v="3"/>
    <n v="6"/>
    <n v="6834"/>
    <n v="1418.21"/>
  </r>
  <r>
    <x v="415"/>
    <x v="7"/>
    <x v="2"/>
    <x v="1"/>
    <n v="5"/>
    <n v="1520"/>
    <n v="433.53"/>
  </r>
  <r>
    <x v="613"/>
    <x v="5"/>
    <x v="2"/>
    <x v="3"/>
    <n v="7"/>
    <n v="8141"/>
    <n v="767.6"/>
  </r>
  <r>
    <x v="614"/>
    <x v="2"/>
    <x v="2"/>
    <x v="2"/>
    <n v="8"/>
    <n v="5176"/>
    <n v="866.36"/>
  </r>
  <r>
    <x v="239"/>
    <x v="1"/>
    <x v="1"/>
    <x v="1"/>
    <n v="9"/>
    <n v="738"/>
    <n v="64.42"/>
  </r>
  <r>
    <x v="607"/>
    <x v="0"/>
    <x v="0"/>
    <x v="2"/>
    <n v="9"/>
    <n v="4086"/>
    <n v="217.48"/>
  </r>
  <r>
    <x v="615"/>
    <x v="1"/>
    <x v="1"/>
    <x v="1"/>
    <n v="2"/>
    <n v="442"/>
    <n v="28.13"/>
  </r>
  <r>
    <x v="616"/>
    <x v="7"/>
    <x v="2"/>
    <x v="1"/>
    <n v="6"/>
    <n v="2478"/>
    <n v="153.86000000000001"/>
  </r>
  <r>
    <x v="234"/>
    <x v="8"/>
    <x v="1"/>
    <x v="2"/>
    <n v="2"/>
    <n v="1860"/>
    <n v="327.14999999999998"/>
  </r>
  <r>
    <x v="82"/>
    <x v="6"/>
    <x v="1"/>
    <x v="1"/>
    <n v="9"/>
    <n v="4968"/>
    <n v="991.82"/>
  </r>
  <r>
    <x v="617"/>
    <x v="0"/>
    <x v="0"/>
    <x v="2"/>
    <n v="3"/>
    <n v="1446"/>
    <n v="278.94"/>
  </r>
  <r>
    <x v="526"/>
    <x v="1"/>
    <x v="1"/>
    <x v="1"/>
    <n v="7"/>
    <n v="1722"/>
    <n v="414.87"/>
  </r>
  <r>
    <x v="164"/>
    <x v="5"/>
    <x v="2"/>
    <x v="1"/>
    <n v="7"/>
    <n v="6573"/>
    <n v="460.28"/>
  </r>
  <r>
    <x v="207"/>
    <x v="4"/>
    <x v="1"/>
    <x v="1"/>
    <n v="3"/>
    <n v="2481"/>
    <n v="249.52"/>
  </r>
  <r>
    <x v="618"/>
    <x v="6"/>
    <x v="1"/>
    <x v="3"/>
    <n v="6"/>
    <n v="3828"/>
    <n v="1102.8599999999999"/>
  </r>
  <r>
    <x v="500"/>
    <x v="2"/>
    <x v="2"/>
    <x v="1"/>
    <n v="7"/>
    <n v="1197"/>
    <n v="103.34"/>
  </r>
  <r>
    <x v="231"/>
    <x v="2"/>
    <x v="2"/>
    <x v="3"/>
    <n v="7"/>
    <n v="7623"/>
    <n v="1459.84"/>
  </r>
  <r>
    <x v="201"/>
    <x v="1"/>
    <x v="1"/>
    <x v="0"/>
    <n v="9"/>
    <n v="3384"/>
    <n v="252.11"/>
  </r>
  <r>
    <x v="105"/>
    <x v="6"/>
    <x v="1"/>
    <x v="2"/>
    <n v="8"/>
    <n v="1296"/>
    <n v="273.97000000000003"/>
  </r>
  <r>
    <x v="619"/>
    <x v="2"/>
    <x v="2"/>
    <x v="3"/>
    <n v="8"/>
    <n v="2840"/>
    <n v="262.62"/>
  </r>
  <r>
    <x v="589"/>
    <x v="3"/>
    <x v="2"/>
    <x v="1"/>
    <n v="7"/>
    <n v="1540"/>
    <n v="342.93"/>
  </r>
  <r>
    <x v="620"/>
    <x v="3"/>
    <x v="2"/>
    <x v="3"/>
    <n v="2"/>
    <n v="1414"/>
    <n v="308.39"/>
  </r>
  <r>
    <x v="621"/>
    <x v="3"/>
    <x v="2"/>
    <x v="3"/>
    <n v="8"/>
    <n v="8328"/>
    <n v="466.38"/>
  </r>
  <r>
    <x v="556"/>
    <x v="3"/>
    <x v="2"/>
    <x v="0"/>
    <n v="2"/>
    <n v="744"/>
    <n v="217.21"/>
  </r>
  <r>
    <x v="622"/>
    <x v="1"/>
    <x v="1"/>
    <x v="2"/>
    <n v="9"/>
    <n v="1773"/>
    <n v="168.01"/>
  </r>
  <r>
    <x v="138"/>
    <x v="7"/>
    <x v="2"/>
    <x v="1"/>
    <n v="7"/>
    <n v="6034"/>
    <n v="1018.37"/>
  </r>
  <r>
    <x v="623"/>
    <x v="7"/>
    <x v="2"/>
    <x v="2"/>
    <n v="9"/>
    <n v="756"/>
    <n v="99.21"/>
  </r>
  <r>
    <x v="624"/>
    <x v="6"/>
    <x v="1"/>
    <x v="1"/>
    <n v="8"/>
    <n v="2256"/>
    <n v="468.52"/>
  </r>
  <r>
    <x v="554"/>
    <x v="6"/>
    <x v="1"/>
    <x v="0"/>
    <n v="7"/>
    <n v="875"/>
    <n v="203.63"/>
  </r>
  <r>
    <x v="48"/>
    <x v="4"/>
    <x v="1"/>
    <x v="2"/>
    <n v="4"/>
    <n v="1208"/>
    <n v="115.13"/>
  </r>
  <r>
    <x v="625"/>
    <x v="4"/>
    <x v="1"/>
    <x v="2"/>
    <n v="2"/>
    <n v="352"/>
    <n v="54.19"/>
  </r>
  <r>
    <x v="626"/>
    <x v="0"/>
    <x v="0"/>
    <x v="3"/>
    <n v="6"/>
    <n v="4266"/>
    <n v="357.51"/>
  </r>
  <r>
    <x v="627"/>
    <x v="2"/>
    <x v="2"/>
    <x v="0"/>
    <n v="7"/>
    <n v="1841"/>
    <n v="496.89"/>
  </r>
  <r>
    <x v="624"/>
    <x v="3"/>
    <x v="2"/>
    <x v="1"/>
    <n v="1"/>
    <n v="712"/>
    <n v="89.5"/>
  </r>
  <r>
    <x v="628"/>
    <x v="0"/>
    <x v="0"/>
    <x v="3"/>
    <n v="2"/>
    <n v="724"/>
    <n v="72.19"/>
  </r>
  <r>
    <x v="629"/>
    <x v="7"/>
    <x v="2"/>
    <x v="3"/>
    <n v="8"/>
    <n v="5832"/>
    <n v="662.72"/>
  </r>
  <r>
    <x v="427"/>
    <x v="8"/>
    <x v="1"/>
    <x v="2"/>
    <n v="6"/>
    <n v="4188"/>
    <n v="989.14"/>
  </r>
  <r>
    <x v="630"/>
    <x v="2"/>
    <x v="2"/>
    <x v="3"/>
    <n v="1"/>
    <n v="392"/>
    <n v="50.7"/>
  </r>
  <r>
    <x v="92"/>
    <x v="9"/>
    <x v="2"/>
    <x v="1"/>
    <n v="9"/>
    <n v="963"/>
    <n v="49.71"/>
  </r>
  <r>
    <x v="631"/>
    <x v="3"/>
    <x v="2"/>
    <x v="3"/>
    <n v="6"/>
    <n v="5706"/>
    <n v="319.45999999999998"/>
  </r>
  <r>
    <x v="525"/>
    <x v="4"/>
    <x v="1"/>
    <x v="3"/>
    <n v="7"/>
    <n v="1365"/>
    <n v="312.04000000000002"/>
  </r>
  <r>
    <x v="632"/>
    <x v="4"/>
    <x v="1"/>
    <x v="2"/>
    <n v="1"/>
    <n v="202"/>
    <n v="11.24"/>
  </r>
  <r>
    <x v="161"/>
    <x v="7"/>
    <x v="2"/>
    <x v="0"/>
    <n v="9"/>
    <n v="2430"/>
    <n v="613.66999999999996"/>
  </r>
  <r>
    <x v="621"/>
    <x v="6"/>
    <x v="1"/>
    <x v="2"/>
    <n v="3"/>
    <n v="2670"/>
    <n v="515.39"/>
  </r>
  <r>
    <x v="633"/>
    <x v="2"/>
    <x v="2"/>
    <x v="2"/>
    <n v="7"/>
    <n v="2758"/>
    <n v="520.66"/>
  </r>
  <r>
    <x v="634"/>
    <x v="6"/>
    <x v="1"/>
    <x v="2"/>
    <n v="9"/>
    <n v="873"/>
    <n v="82.35"/>
  </r>
  <r>
    <x v="635"/>
    <x v="5"/>
    <x v="2"/>
    <x v="3"/>
    <n v="9"/>
    <n v="7245"/>
    <n v="1410.92"/>
  </r>
  <r>
    <x v="280"/>
    <x v="3"/>
    <x v="2"/>
    <x v="0"/>
    <n v="4"/>
    <n v="960"/>
    <n v="255.24"/>
  </r>
  <r>
    <x v="66"/>
    <x v="5"/>
    <x v="2"/>
    <x v="1"/>
    <n v="4"/>
    <n v="1284"/>
    <n v="171.02"/>
  </r>
  <r>
    <x v="636"/>
    <x v="1"/>
    <x v="1"/>
    <x v="3"/>
    <n v="4"/>
    <n v="512"/>
    <n v="110.47"/>
  </r>
  <r>
    <x v="637"/>
    <x v="5"/>
    <x v="2"/>
    <x v="2"/>
    <n v="9"/>
    <n v="9729"/>
    <n v="2039.41"/>
  </r>
  <r>
    <x v="351"/>
    <x v="3"/>
    <x v="2"/>
    <x v="0"/>
    <n v="5"/>
    <n v="1580"/>
    <n v="166.16"/>
  </r>
  <r>
    <x v="214"/>
    <x v="1"/>
    <x v="1"/>
    <x v="1"/>
    <n v="8"/>
    <n v="976"/>
    <n v="234.24"/>
  </r>
  <r>
    <x v="638"/>
    <x v="0"/>
    <x v="0"/>
    <x v="0"/>
    <n v="8"/>
    <n v="1824"/>
    <n v="495.35"/>
  </r>
  <r>
    <x v="194"/>
    <x v="7"/>
    <x v="2"/>
    <x v="2"/>
    <n v="4"/>
    <n v="3188"/>
    <n v="202.81"/>
  </r>
  <r>
    <x v="639"/>
    <x v="3"/>
    <x v="2"/>
    <x v="1"/>
    <n v="7"/>
    <n v="5467"/>
    <n v="556.02"/>
  </r>
  <r>
    <x v="640"/>
    <x v="7"/>
    <x v="2"/>
    <x v="2"/>
    <n v="6"/>
    <n v="5406"/>
    <n v="1277.46"/>
  </r>
  <r>
    <x v="145"/>
    <x v="4"/>
    <x v="1"/>
    <x v="1"/>
    <n v="8"/>
    <n v="2984"/>
    <n v="742.31"/>
  </r>
  <r>
    <x v="213"/>
    <x v="0"/>
    <x v="0"/>
    <x v="0"/>
    <n v="1"/>
    <n v="919"/>
    <n v="193.35"/>
  </r>
  <r>
    <x v="641"/>
    <x v="3"/>
    <x v="2"/>
    <x v="2"/>
    <n v="6"/>
    <n v="1686"/>
    <n v="426.72"/>
  </r>
  <r>
    <x v="642"/>
    <x v="9"/>
    <x v="2"/>
    <x v="3"/>
    <n v="7"/>
    <n v="4165"/>
    <n v="493.24"/>
  </r>
  <r>
    <x v="319"/>
    <x v="7"/>
    <x v="2"/>
    <x v="3"/>
    <n v="7"/>
    <n v="1281"/>
    <n v="282.63"/>
  </r>
  <r>
    <x v="373"/>
    <x v="5"/>
    <x v="2"/>
    <x v="1"/>
    <n v="3"/>
    <n v="2829"/>
    <n v="362.16"/>
  </r>
  <r>
    <x v="552"/>
    <x v="6"/>
    <x v="1"/>
    <x v="3"/>
    <n v="3"/>
    <n v="2211"/>
    <n v="292.31"/>
  </r>
  <r>
    <x v="643"/>
    <x v="4"/>
    <x v="1"/>
    <x v="1"/>
    <n v="4"/>
    <n v="4740"/>
    <n v="607.80999999999995"/>
  </r>
  <r>
    <x v="644"/>
    <x v="3"/>
    <x v="2"/>
    <x v="1"/>
    <n v="1"/>
    <n v="718"/>
    <n v="169.09"/>
  </r>
  <r>
    <x v="645"/>
    <x v="4"/>
    <x v="1"/>
    <x v="0"/>
    <n v="6"/>
    <n v="1716"/>
    <n v="108.81"/>
  </r>
  <r>
    <x v="127"/>
    <x v="6"/>
    <x v="1"/>
    <x v="2"/>
    <n v="7"/>
    <n v="1547"/>
    <n v="152.59"/>
  </r>
  <r>
    <x v="646"/>
    <x v="1"/>
    <x v="1"/>
    <x v="0"/>
    <n v="1"/>
    <n v="739"/>
    <n v="111.18"/>
  </r>
  <r>
    <x v="647"/>
    <x v="9"/>
    <x v="2"/>
    <x v="3"/>
    <n v="3"/>
    <n v="819"/>
    <n v="231.88"/>
  </r>
  <r>
    <x v="453"/>
    <x v="9"/>
    <x v="2"/>
    <x v="2"/>
    <n v="8"/>
    <n v="5696"/>
    <n v="1156.3"/>
  </r>
  <r>
    <x v="357"/>
    <x v="6"/>
    <x v="1"/>
    <x v="2"/>
    <n v="2"/>
    <n v="1706"/>
    <n v="184.71"/>
  </r>
  <r>
    <x v="203"/>
    <x v="3"/>
    <x v="2"/>
    <x v="0"/>
    <n v="2"/>
    <n v="2066"/>
    <n v="608.23"/>
  </r>
  <r>
    <x v="648"/>
    <x v="9"/>
    <x v="2"/>
    <x v="0"/>
    <n v="2"/>
    <n v="256"/>
    <n v="35.659999999999997"/>
  </r>
  <r>
    <x v="649"/>
    <x v="7"/>
    <x v="2"/>
    <x v="0"/>
    <n v="2"/>
    <n v="1102"/>
    <n v="182.54"/>
  </r>
  <r>
    <x v="557"/>
    <x v="6"/>
    <x v="1"/>
    <x v="0"/>
    <n v="8"/>
    <n v="2872"/>
    <n v="483.94"/>
  </r>
  <r>
    <x v="599"/>
    <x v="2"/>
    <x v="2"/>
    <x v="1"/>
    <n v="4"/>
    <n v="2584"/>
    <n v="394.52"/>
  </r>
  <r>
    <x v="624"/>
    <x v="1"/>
    <x v="1"/>
    <x v="0"/>
    <n v="2"/>
    <n v="1366"/>
    <n v="298.32"/>
  </r>
  <r>
    <x v="239"/>
    <x v="5"/>
    <x v="2"/>
    <x v="2"/>
    <n v="7"/>
    <n v="1253"/>
    <n v="354.23"/>
  </r>
  <r>
    <x v="650"/>
    <x v="9"/>
    <x v="2"/>
    <x v="3"/>
    <n v="7"/>
    <n v="2618"/>
    <n v="300.81"/>
  </r>
  <r>
    <x v="362"/>
    <x v="4"/>
    <x v="1"/>
    <x v="1"/>
    <n v="9"/>
    <n v="6822"/>
    <n v="1811.37"/>
  </r>
  <r>
    <x v="572"/>
    <x v="8"/>
    <x v="1"/>
    <x v="1"/>
    <n v="6"/>
    <n v="5286"/>
    <n v="636.16"/>
  </r>
  <r>
    <x v="651"/>
    <x v="6"/>
    <x v="1"/>
    <x v="0"/>
    <n v="1"/>
    <n v="579"/>
    <n v="133.57"/>
  </r>
  <r>
    <x v="512"/>
    <x v="9"/>
    <x v="2"/>
    <x v="3"/>
    <n v="8"/>
    <n v="1392"/>
    <n v="190.99"/>
  </r>
  <r>
    <x v="137"/>
    <x v="9"/>
    <x v="2"/>
    <x v="3"/>
    <n v="9"/>
    <n v="2493"/>
    <n v="696.69"/>
  </r>
  <r>
    <x v="652"/>
    <x v="7"/>
    <x v="2"/>
    <x v="0"/>
    <n v="7"/>
    <n v="6461"/>
    <n v="766.45"/>
  </r>
  <r>
    <x v="653"/>
    <x v="2"/>
    <x v="2"/>
    <x v="1"/>
    <n v="2"/>
    <n v="1486"/>
    <n v="201.07"/>
  </r>
  <r>
    <x v="654"/>
    <x v="0"/>
    <x v="0"/>
    <x v="2"/>
    <n v="1"/>
    <n v="1152"/>
    <n v="280.27999999999997"/>
  </r>
  <r>
    <x v="655"/>
    <x v="5"/>
    <x v="2"/>
    <x v="3"/>
    <n v="2"/>
    <n v="1750"/>
    <n v="103.99"/>
  </r>
  <r>
    <x v="535"/>
    <x v="7"/>
    <x v="2"/>
    <x v="3"/>
    <n v="7"/>
    <n v="4417"/>
    <n v="495.37"/>
  </r>
  <r>
    <x v="528"/>
    <x v="9"/>
    <x v="2"/>
    <x v="2"/>
    <n v="4"/>
    <n v="3724"/>
    <n v="276.85000000000002"/>
  </r>
  <r>
    <x v="656"/>
    <x v="3"/>
    <x v="2"/>
    <x v="3"/>
    <n v="3"/>
    <n v="2220"/>
    <n v="121.14"/>
  </r>
  <r>
    <x v="657"/>
    <x v="6"/>
    <x v="1"/>
    <x v="3"/>
    <n v="8"/>
    <n v="9104"/>
    <n v="2620.58"/>
  </r>
  <r>
    <x v="145"/>
    <x v="0"/>
    <x v="0"/>
    <x v="3"/>
    <n v="3"/>
    <n v="3093"/>
    <n v="584.23"/>
  </r>
  <r>
    <x v="125"/>
    <x v="4"/>
    <x v="1"/>
    <x v="2"/>
    <n v="6"/>
    <n v="3048"/>
    <n v="842.24"/>
  </r>
  <r>
    <x v="658"/>
    <x v="7"/>
    <x v="2"/>
    <x v="0"/>
    <n v="1"/>
    <n v="161"/>
    <n v="36.58"/>
  </r>
  <r>
    <x v="476"/>
    <x v="6"/>
    <x v="1"/>
    <x v="3"/>
    <n v="7"/>
    <n v="7238"/>
    <n v="1889.69"/>
  </r>
  <r>
    <x v="301"/>
    <x v="7"/>
    <x v="2"/>
    <x v="0"/>
    <n v="3"/>
    <n v="3561"/>
    <n v="347.31"/>
  </r>
  <r>
    <x v="659"/>
    <x v="6"/>
    <x v="1"/>
    <x v="0"/>
    <n v="5"/>
    <n v="1850"/>
    <n v="534.39"/>
  </r>
  <r>
    <x v="660"/>
    <x v="1"/>
    <x v="1"/>
    <x v="3"/>
    <n v="6"/>
    <n v="3522"/>
    <n v="626.72"/>
  </r>
  <r>
    <x v="661"/>
    <x v="5"/>
    <x v="2"/>
    <x v="1"/>
    <n v="1"/>
    <n v="584"/>
    <n v="172.4"/>
  </r>
  <r>
    <x v="579"/>
    <x v="7"/>
    <x v="2"/>
    <x v="1"/>
    <n v="4"/>
    <n v="2556"/>
    <n v="412.44"/>
  </r>
  <r>
    <x v="662"/>
    <x v="7"/>
    <x v="2"/>
    <x v="2"/>
    <n v="2"/>
    <n v="348"/>
    <n v="56.31"/>
  </r>
  <r>
    <x v="663"/>
    <x v="6"/>
    <x v="1"/>
    <x v="2"/>
    <n v="9"/>
    <n v="1602"/>
    <n v="142.49"/>
  </r>
  <r>
    <x v="664"/>
    <x v="6"/>
    <x v="1"/>
    <x v="2"/>
    <n v="3"/>
    <n v="2853"/>
    <n v="437.59"/>
  </r>
  <r>
    <x v="154"/>
    <x v="0"/>
    <x v="0"/>
    <x v="3"/>
    <n v="1"/>
    <n v="1024"/>
    <n v="230.3"/>
  </r>
  <r>
    <x v="310"/>
    <x v="3"/>
    <x v="2"/>
    <x v="1"/>
    <n v="5"/>
    <n v="4485"/>
    <n v="1324.49"/>
  </r>
  <r>
    <x v="665"/>
    <x v="0"/>
    <x v="0"/>
    <x v="1"/>
    <n v="2"/>
    <n v="436"/>
    <n v="79.69"/>
  </r>
  <r>
    <x v="257"/>
    <x v="5"/>
    <x v="2"/>
    <x v="0"/>
    <n v="2"/>
    <n v="2232"/>
    <n v="150.12"/>
  </r>
  <r>
    <x v="201"/>
    <x v="8"/>
    <x v="1"/>
    <x v="2"/>
    <n v="6"/>
    <n v="7056"/>
    <n v="1445.01"/>
  </r>
  <r>
    <x v="532"/>
    <x v="8"/>
    <x v="1"/>
    <x v="1"/>
    <n v="5"/>
    <n v="875"/>
    <n v="96.65"/>
  </r>
  <r>
    <x v="666"/>
    <x v="5"/>
    <x v="2"/>
    <x v="1"/>
    <n v="3"/>
    <n v="315"/>
    <n v="61.94"/>
  </r>
  <r>
    <x v="163"/>
    <x v="9"/>
    <x v="2"/>
    <x v="1"/>
    <n v="2"/>
    <n v="358"/>
    <n v="51.75"/>
  </r>
  <r>
    <x v="580"/>
    <x v="3"/>
    <x v="2"/>
    <x v="2"/>
    <n v="7"/>
    <n v="3451"/>
    <n v="194.42"/>
  </r>
  <r>
    <x v="667"/>
    <x v="9"/>
    <x v="2"/>
    <x v="0"/>
    <n v="9"/>
    <n v="1350"/>
    <n v="189.13"/>
  </r>
  <r>
    <x v="668"/>
    <x v="2"/>
    <x v="2"/>
    <x v="3"/>
    <n v="8"/>
    <n v="3320"/>
    <n v="413.32"/>
  </r>
  <r>
    <x v="112"/>
    <x v="1"/>
    <x v="1"/>
    <x v="0"/>
    <n v="9"/>
    <n v="8442"/>
    <n v="940.33"/>
  </r>
  <r>
    <x v="669"/>
    <x v="8"/>
    <x v="1"/>
    <x v="2"/>
    <n v="1"/>
    <n v="166"/>
    <n v="31.97"/>
  </r>
  <r>
    <x v="479"/>
    <x v="1"/>
    <x v="1"/>
    <x v="0"/>
    <n v="5"/>
    <n v="3720"/>
    <n v="448.6"/>
  </r>
  <r>
    <x v="398"/>
    <x v="9"/>
    <x v="2"/>
    <x v="2"/>
    <n v="2"/>
    <n v="1090"/>
    <n v="136.65"/>
  </r>
  <r>
    <x v="638"/>
    <x v="9"/>
    <x v="2"/>
    <x v="3"/>
    <n v="9"/>
    <n v="9783"/>
    <n v="2347.4899999999998"/>
  </r>
  <r>
    <x v="362"/>
    <x v="7"/>
    <x v="2"/>
    <x v="0"/>
    <n v="4"/>
    <n v="2432"/>
    <n v="657.18"/>
  </r>
  <r>
    <x v="623"/>
    <x v="1"/>
    <x v="1"/>
    <x v="0"/>
    <n v="7"/>
    <n v="4060"/>
    <n v="291.42"/>
  </r>
  <r>
    <x v="99"/>
    <x v="5"/>
    <x v="2"/>
    <x v="0"/>
    <n v="1"/>
    <n v="387"/>
    <n v="99.59"/>
  </r>
  <r>
    <x v="138"/>
    <x v="5"/>
    <x v="2"/>
    <x v="0"/>
    <n v="3"/>
    <n v="966"/>
    <n v="120.56"/>
  </r>
  <r>
    <x v="432"/>
    <x v="2"/>
    <x v="2"/>
    <x v="0"/>
    <n v="3"/>
    <n v="3366"/>
    <n v="882.29"/>
  </r>
  <r>
    <x v="561"/>
    <x v="6"/>
    <x v="1"/>
    <x v="3"/>
    <n v="7"/>
    <n v="7833"/>
    <n v="1843.94"/>
  </r>
  <r>
    <x v="32"/>
    <x v="6"/>
    <x v="1"/>
    <x v="3"/>
    <n v="1"/>
    <n v="610"/>
    <n v="33.549999999999997"/>
  </r>
  <r>
    <x v="670"/>
    <x v="5"/>
    <x v="2"/>
    <x v="3"/>
    <n v="8"/>
    <n v="4288"/>
    <n v="597.09"/>
  </r>
  <r>
    <x v="222"/>
    <x v="0"/>
    <x v="0"/>
    <x v="0"/>
    <n v="9"/>
    <n v="7740"/>
    <n v="605.35"/>
  </r>
  <r>
    <x v="671"/>
    <x v="5"/>
    <x v="2"/>
    <x v="3"/>
    <n v="9"/>
    <n v="3150"/>
    <n v="457.13"/>
  </r>
  <r>
    <x v="383"/>
    <x v="8"/>
    <x v="1"/>
    <x v="3"/>
    <n v="2"/>
    <n v="894"/>
    <n v="224.75"/>
  </r>
  <r>
    <x v="672"/>
    <x v="9"/>
    <x v="2"/>
    <x v="0"/>
    <n v="8"/>
    <n v="7544"/>
    <n v="1219.73"/>
  </r>
  <r>
    <x v="458"/>
    <x v="8"/>
    <x v="1"/>
    <x v="0"/>
    <n v="8"/>
    <n v="6360"/>
    <n v="1871.88"/>
  </r>
  <r>
    <x v="120"/>
    <x v="7"/>
    <x v="2"/>
    <x v="3"/>
    <n v="4"/>
    <n v="2428"/>
    <n v="485.75"/>
  </r>
  <r>
    <x v="323"/>
    <x v="4"/>
    <x v="1"/>
    <x v="2"/>
    <n v="2"/>
    <n v="574"/>
    <n v="38.520000000000003"/>
  </r>
  <r>
    <x v="526"/>
    <x v="8"/>
    <x v="1"/>
    <x v="3"/>
    <n v="6"/>
    <n v="6744"/>
    <n v="660.47"/>
  </r>
  <r>
    <x v="513"/>
    <x v="4"/>
    <x v="1"/>
    <x v="0"/>
    <n v="6"/>
    <n v="798"/>
    <n v="213.4"/>
  </r>
  <r>
    <x v="616"/>
    <x v="0"/>
    <x v="0"/>
    <x v="0"/>
    <n v="5"/>
    <n v="2860"/>
    <n v="339"/>
  </r>
  <r>
    <x v="384"/>
    <x v="0"/>
    <x v="0"/>
    <x v="2"/>
    <n v="5"/>
    <n v="5410"/>
    <n v="1129.77"/>
  </r>
  <r>
    <x v="140"/>
    <x v="9"/>
    <x v="2"/>
    <x v="3"/>
    <n v="5"/>
    <n v="4445"/>
    <n v="580.15"/>
  </r>
  <r>
    <x v="327"/>
    <x v="5"/>
    <x v="2"/>
    <x v="2"/>
    <n v="8"/>
    <n v="7536"/>
    <n v="1197.0899999999999"/>
  </r>
  <r>
    <x v="673"/>
    <x v="6"/>
    <x v="1"/>
    <x v="0"/>
    <n v="7"/>
    <n v="4165"/>
    <n v="263.26"/>
  </r>
  <r>
    <x v="674"/>
    <x v="9"/>
    <x v="2"/>
    <x v="1"/>
    <n v="3"/>
    <n v="3021"/>
    <n v="763.99"/>
  </r>
  <r>
    <x v="423"/>
    <x v="8"/>
    <x v="1"/>
    <x v="0"/>
    <n v="2"/>
    <n v="310"/>
    <n v="70.66"/>
  </r>
  <r>
    <x v="405"/>
    <x v="4"/>
    <x v="1"/>
    <x v="2"/>
    <n v="2"/>
    <n v="2170"/>
    <n v="522"/>
  </r>
  <r>
    <x v="9"/>
    <x v="2"/>
    <x v="2"/>
    <x v="3"/>
    <n v="3"/>
    <n v="2832"/>
    <n v="317.76"/>
  </r>
  <r>
    <x v="462"/>
    <x v="5"/>
    <x v="2"/>
    <x v="3"/>
    <n v="5"/>
    <n v="3945"/>
    <n v="392.09"/>
  </r>
  <r>
    <x v="4"/>
    <x v="2"/>
    <x v="2"/>
    <x v="2"/>
    <n v="4"/>
    <n v="2104"/>
    <n v="308"/>
  </r>
  <r>
    <x v="108"/>
    <x v="6"/>
    <x v="1"/>
    <x v="2"/>
    <n v="2"/>
    <n v="2060"/>
    <n v="517.64"/>
  </r>
  <r>
    <x v="172"/>
    <x v="0"/>
    <x v="0"/>
    <x v="0"/>
    <n v="4"/>
    <n v="1060"/>
    <n v="155.78"/>
  </r>
  <r>
    <x v="616"/>
    <x v="5"/>
    <x v="2"/>
    <x v="2"/>
    <n v="6"/>
    <n v="810"/>
    <n v="108.61"/>
  </r>
  <r>
    <x v="482"/>
    <x v="9"/>
    <x v="2"/>
    <x v="3"/>
    <n v="3"/>
    <n v="873"/>
    <n v="57.42"/>
  </r>
  <r>
    <x v="89"/>
    <x v="2"/>
    <x v="2"/>
    <x v="3"/>
    <n v="5"/>
    <n v="595"/>
    <n v="121.11"/>
  </r>
  <r>
    <x v="675"/>
    <x v="9"/>
    <x v="2"/>
    <x v="3"/>
    <n v="2"/>
    <n v="1562"/>
    <n v="119.56"/>
  </r>
  <r>
    <x v="676"/>
    <x v="5"/>
    <x v="2"/>
    <x v="1"/>
    <n v="9"/>
    <n v="5337"/>
    <n v="1575.99"/>
  </r>
  <r>
    <x v="677"/>
    <x v="0"/>
    <x v="0"/>
    <x v="0"/>
    <n v="2"/>
    <n v="212"/>
    <n v="13.4"/>
  </r>
  <r>
    <x v="242"/>
    <x v="0"/>
    <x v="0"/>
    <x v="1"/>
    <n v="8"/>
    <n v="2704"/>
    <n v="705.74"/>
  </r>
  <r>
    <x v="678"/>
    <x v="9"/>
    <x v="2"/>
    <x v="0"/>
    <n v="5"/>
    <n v="3225"/>
    <n v="523.32000000000005"/>
  </r>
  <r>
    <x v="225"/>
    <x v="6"/>
    <x v="1"/>
    <x v="0"/>
    <n v="2"/>
    <n v="1342"/>
    <n v="184.59"/>
  </r>
  <r>
    <x v="679"/>
    <x v="1"/>
    <x v="1"/>
    <x v="2"/>
    <n v="7"/>
    <n v="3395"/>
    <n v="1012.78"/>
  </r>
  <r>
    <x v="84"/>
    <x v="5"/>
    <x v="2"/>
    <x v="1"/>
    <n v="4"/>
    <n v="3968"/>
    <n v="480.72"/>
  </r>
  <r>
    <x v="294"/>
    <x v="7"/>
    <x v="2"/>
    <x v="3"/>
    <n v="5"/>
    <n v="4555"/>
    <n v="776.65"/>
  </r>
  <r>
    <x v="680"/>
    <x v="2"/>
    <x v="2"/>
    <x v="3"/>
    <n v="2"/>
    <n v="2132"/>
    <n v="365.44"/>
  </r>
  <r>
    <x v="133"/>
    <x v="1"/>
    <x v="1"/>
    <x v="3"/>
    <n v="6"/>
    <n v="6516"/>
    <n v="842.83"/>
  </r>
  <r>
    <x v="191"/>
    <x v="5"/>
    <x v="2"/>
    <x v="0"/>
    <n v="2"/>
    <n v="2040"/>
    <n v="481.15"/>
  </r>
  <r>
    <x v="104"/>
    <x v="1"/>
    <x v="1"/>
    <x v="1"/>
    <n v="6"/>
    <n v="6126"/>
    <n v="428.38"/>
  </r>
  <r>
    <x v="37"/>
    <x v="5"/>
    <x v="2"/>
    <x v="3"/>
    <n v="8"/>
    <n v="520"/>
    <n v="30.58"/>
  </r>
  <r>
    <x v="313"/>
    <x v="3"/>
    <x v="2"/>
    <x v="2"/>
    <n v="5"/>
    <n v="4470"/>
    <n v="526.96"/>
  </r>
  <r>
    <x v="681"/>
    <x v="5"/>
    <x v="2"/>
    <x v="3"/>
    <n v="8"/>
    <n v="5504"/>
    <n v="1196.78"/>
  </r>
  <r>
    <x v="182"/>
    <x v="4"/>
    <x v="1"/>
    <x v="3"/>
    <n v="4"/>
    <n v="3036"/>
    <n v="511.69"/>
  </r>
  <r>
    <x v="220"/>
    <x v="5"/>
    <x v="2"/>
    <x v="1"/>
    <n v="5"/>
    <n v="2725"/>
    <n v="308.29000000000002"/>
  </r>
  <r>
    <x v="389"/>
    <x v="0"/>
    <x v="0"/>
    <x v="0"/>
    <n v="8"/>
    <n v="4080"/>
    <n v="336.96"/>
  </r>
  <r>
    <x v="324"/>
    <x v="8"/>
    <x v="1"/>
    <x v="0"/>
    <n v="8"/>
    <n v="3080"/>
    <n v="776.6"/>
  </r>
  <r>
    <x v="682"/>
    <x v="5"/>
    <x v="2"/>
    <x v="0"/>
    <n v="5"/>
    <n v="1525"/>
    <n v="413.75"/>
  </r>
  <r>
    <x v="683"/>
    <x v="6"/>
    <x v="1"/>
    <x v="2"/>
    <n v="4"/>
    <n v="1332"/>
    <n v="342.85"/>
  </r>
  <r>
    <x v="684"/>
    <x v="7"/>
    <x v="2"/>
    <x v="2"/>
    <n v="7"/>
    <n v="4669"/>
    <n v="803.21"/>
  </r>
  <r>
    <x v="655"/>
    <x v="5"/>
    <x v="2"/>
    <x v="3"/>
    <n v="6"/>
    <n v="5310"/>
    <n v="1099.8399999999999"/>
  </r>
  <r>
    <x v="197"/>
    <x v="3"/>
    <x v="2"/>
    <x v="1"/>
    <n v="8"/>
    <n v="9392"/>
    <n v="2651.84"/>
  </r>
  <r>
    <x v="236"/>
    <x v="6"/>
    <x v="1"/>
    <x v="2"/>
    <n v="5"/>
    <n v="1350"/>
    <n v="198.19"/>
  </r>
  <r>
    <x v="685"/>
    <x v="6"/>
    <x v="1"/>
    <x v="0"/>
    <n v="4"/>
    <n v="3648"/>
    <n v="768.61"/>
  </r>
  <r>
    <x v="346"/>
    <x v="0"/>
    <x v="0"/>
    <x v="0"/>
    <n v="2"/>
    <n v="300"/>
    <n v="47.59"/>
  </r>
  <r>
    <x v="201"/>
    <x v="7"/>
    <x v="2"/>
    <x v="0"/>
    <n v="3"/>
    <n v="3408"/>
    <n v="727.26"/>
  </r>
  <r>
    <x v="686"/>
    <x v="8"/>
    <x v="1"/>
    <x v="2"/>
    <n v="9"/>
    <n v="4302"/>
    <n v="475.96"/>
  </r>
  <r>
    <x v="468"/>
    <x v="8"/>
    <x v="1"/>
    <x v="2"/>
    <n v="5"/>
    <n v="4575"/>
    <n v="771.24"/>
  </r>
  <r>
    <x v="30"/>
    <x v="9"/>
    <x v="2"/>
    <x v="1"/>
    <n v="8"/>
    <n v="9304"/>
    <n v="1855.7"/>
  </r>
  <r>
    <x v="404"/>
    <x v="6"/>
    <x v="1"/>
    <x v="1"/>
    <n v="4"/>
    <n v="1928"/>
    <n v="232.48"/>
  </r>
  <r>
    <x v="386"/>
    <x v="0"/>
    <x v="0"/>
    <x v="1"/>
    <n v="2"/>
    <n v="1042"/>
    <n v="86.24"/>
  </r>
  <r>
    <x v="687"/>
    <x v="2"/>
    <x v="2"/>
    <x v="1"/>
    <n v="3"/>
    <n v="2214"/>
    <n v="507.7"/>
  </r>
  <r>
    <x v="51"/>
    <x v="8"/>
    <x v="1"/>
    <x v="2"/>
    <n v="4"/>
    <n v="3024"/>
    <n v="678.26"/>
  </r>
  <r>
    <x v="138"/>
    <x v="3"/>
    <x v="2"/>
    <x v="1"/>
    <n v="2"/>
    <n v="1104"/>
    <n v="173.01"/>
  </r>
  <r>
    <x v="530"/>
    <x v="1"/>
    <x v="1"/>
    <x v="1"/>
    <n v="8"/>
    <n v="6056"/>
    <n v="1631.71"/>
  </r>
  <r>
    <x v="33"/>
    <x v="1"/>
    <x v="1"/>
    <x v="2"/>
    <n v="5"/>
    <n v="5295"/>
    <n v="1375.98"/>
  </r>
  <r>
    <x v="260"/>
    <x v="7"/>
    <x v="2"/>
    <x v="0"/>
    <n v="4"/>
    <n v="3668"/>
    <n v="839.4"/>
  </r>
  <r>
    <x v="308"/>
    <x v="0"/>
    <x v="0"/>
    <x v="2"/>
    <n v="9"/>
    <n v="4293"/>
    <n v="295.47000000000003"/>
  </r>
  <r>
    <x v="688"/>
    <x v="1"/>
    <x v="1"/>
    <x v="0"/>
    <n v="7"/>
    <n v="5789"/>
    <n v="950.45"/>
  </r>
  <r>
    <x v="409"/>
    <x v="5"/>
    <x v="2"/>
    <x v="0"/>
    <n v="6"/>
    <n v="4440"/>
    <n v="800.92"/>
  </r>
  <r>
    <x v="149"/>
    <x v="0"/>
    <x v="0"/>
    <x v="2"/>
    <n v="5"/>
    <n v="5515"/>
    <n v="330.02"/>
  </r>
  <r>
    <x v="100"/>
    <x v="3"/>
    <x v="2"/>
    <x v="0"/>
    <n v="4"/>
    <n v="784"/>
    <n v="192.77"/>
  </r>
  <r>
    <x v="689"/>
    <x v="9"/>
    <x v="2"/>
    <x v="1"/>
    <n v="4"/>
    <n v="576"/>
    <n v="156.59"/>
  </r>
  <r>
    <x v="299"/>
    <x v="5"/>
    <x v="2"/>
    <x v="3"/>
    <n v="5"/>
    <n v="705"/>
    <n v="198.62"/>
  </r>
  <r>
    <x v="425"/>
    <x v="8"/>
    <x v="1"/>
    <x v="0"/>
    <n v="6"/>
    <n v="4458"/>
    <n v="1215.3"/>
  </r>
  <r>
    <x v="286"/>
    <x v="7"/>
    <x v="2"/>
    <x v="1"/>
    <n v="6"/>
    <n v="6780"/>
    <n v="811.92"/>
  </r>
  <r>
    <x v="487"/>
    <x v="5"/>
    <x v="2"/>
    <x v="0"/>
    <n v="5"/>
    <n v="3970"/>
    <n v="642.70000000000005"/>
  </r>
  <r>
    <x v="690"/>
    <x v="6"/>
    <x v="1"/>
    <x v="0"/>
    <n v="7"/>
    <n v="5131"/>
    <n v="368.11"/>
  </r>
  <r>
    <x v="186"/>
    <x v="9"/>
    <x v="2"/>
    <x v="1"/>
    <n v="7"/>
    <n v="1750"/>
    <n v="90.21"/>
  </r>
  <r>
    <x v="691"/>
    <x v="2"/>
    <x v="2"/>
    <x v="1"/>
    <n v="7"/>
    <n v="8337"/>
    <n v="753.35"/>
  </r>
  <r>
    <x v="481"/>
    <x v="8"/>
    <x v="1"/>
    <x v="1"/>
    <n v="9"/>
    <n v="9810"/>
    <n v="549.46"/>
  </r>
  <r>
    <x v="551"/>
    <x v="8"/>
    <x v="1"/>
    <x v="1"/>
    <n v="3"/>
    <n v="2658"/>
    <n v="794.36"/>
  </r>
  <r>
    <x v="692"/>
    <x v="0"/>
    <x v="0"/>
    <x v="3"/>
    <n v="1"/>
    <n v="473"/>
    <n v="43.65"/>
  </r>
  <r>
    <x v="7"/>
    <x v="2"/>
    <x v="2"/>
    <x v="0"/>
    <n v="9"/>
    <n v="2205"/>
    <n v="410.01"/>
  </r>
  <r>
    <x v="347"/>
    <x v="7"/>
    <x v="2"/>
    <x v="2"/>
    <n v="9"/>
    <n v="6948"/>
    <n v="1409.3"/>
  </r>
  <r>
    <x v="693"/>
    <x v="2"/>
    <x v="2"/>
    <x v="0"/>
    <n v="3"/>
    <n v="774"/>
    <n v="212.02"/>
  </r>
  <r>
    <x v="262"/>
    <x v="2"/>
    <x v="2"/>
    <x v="0"/>
    <n v="3"/>
    <n v="2532"/>
    <n v="343.13"/>
  </r>
  <r>
    <x v="419"/>
    <x v="9"/>
    <x v="2"/>
    <x v="3"/>
    <n v="7"/>
    <n v="6587"/>
    <n v="1173.9100000000001"/>
  </r>
  <r>
    <x v="330"/>
    <x v="7"/>
    <x v="2"/>
    <x v="1"/>
    <n v="7"/>
    <n v="7266"/>
    <n v="806.79"/>
  </r>
  <r>
    <x v="492"/>
    <x v="7"/>
    <x v="2"/>
    <x v="1"/>
    <n v="7"/>
    <n v="6867"/>
    <n v="502.06"/>
  </r>
  <r>
    <x v="336"/>
    <x v="3"/>
    <x v="2"/>
    <x v="2"/>
    <n v="9"/>
    <n v="4887"/>
    <n v="396.36"/>
  </r>
  <r>
    <x v="694"/>
    <x v="1"/>
    <x v="1"/>
    <x v="3"/>
    <n v="4"/>
    <n v="864"/>
    <n v="251.99"/>
  </r>
  <r>
    <x v="695"/>
    <x v="7"/>
    <x v="2"/>
    <x v="1"/>
    <n v="6"/>
    <n v="5190"/>
    <n v="1215.07"/>
  </r>
  <r>
    <x v="696"/>
    <x v="8"/>
    <x v="1"/>
    <x v="2"/>
    <n v="8"/>
    <n v="2128"/>
    <n v="294.45"/>
  </r>
  <r>
    <x v="697"/>
    <x v="1"/>
    <x v="1"/>
    <x v="1"/>
    <n v="2"/>
    <n v="1718"/>
    <n v="218.82"/>
  </r>
  <r>
    <x v="658"/>
    <x v="7"/>
    <x v="2"/>
    <x v="0"/>
    <n v="2"/>
    <n v="1270"/>
    <n v="229.39"/>
  </r>
  <r>
    <x v="698"/>
    <x v="8"/>
    <x v="1"/>
    <x v="1"/>
    <n v="7"/>
    <n v="2569"/>
    <n v="130.19"/>
  </r>
  <r>
    <x v="699"/>
    <x v="0"/>
    <x v="0"/>
    <x v="2"/>
    <n v="2"/>
    <n v="1518"/>
    <n v="262.64999999999998"/>
  </r>
  <r>
    <x v="601"/>
    <x v="4"/>
    <x v="1"/>
    <x v="2"/>
    <n v="2"/>
    <n v="1210"/>
    <n v="268.37"/>
  </r>
  <r>
    <x v="532"/>
    <x v="1"/>
    <x v="1"/>
    <x v="1"/>
    <n v="2"/>
    <n v="1128"/>
    <n v="94.13"/>
  </r>
  <r>
    <x v="635"/>
    <x v="4"/>
    <x v="1"/>
    <x v="0"/>
    <n v="1"/>
    <n v="1077"/>
    <n v="77.97"/>
  </r>
  <r>
    <x v="700"/>
    <x v="8"/>
    <x v="1"/>
    <x v="1"/>
    <n v="6"/>
    <n v="2244"/>
    <n v="517.47"/>
  </r>
  <r>
    <x v="615"/>
    <x v="1"/>
    <x v="1"/>
    <x v="3"/>
    <n v="8"/>
    <n v="1608"/>
    <n v="464.18"/>
  </r>
  <r>
    <x v="701"/>
    <x v="3"/>
    <x v="2"/>
    <x v="3"/>
    <n v="5"/>
    <n v="3685"/>
    <n v="476.2"/>
  </r>
  <r>
    <x v="702"/>
    <x v="3"/>
    <x v="2"/>
    <x v="0"/>
    <n v="8"/>
    <n v="4080"/>
    <n v="1079.49"/>
  </r>
  <r>
    <x v="703"/>
    <x v="6"/>
    <x v="1"/>
    <x v="0"/>
    <n v="1"/>
    <n v="404"/>
    <n v="84.4"/>
  </r>
  <r>
    <x v="704"/>
    <x v="8"/>
    <x v="1"/>
    <x v="2"/>
    <n v="2"/>
    <n v="1738"/>
    <n v="163.38"/>
  </r>
  <r>
    <x v="171"/>
    <x v="0"/>
    <x v="0"/>
    <x v="3"/>
    <n v="3"/>
    <n v="828"/>
    <n v="210.33"/>
  </r>
  <r>
    <x v="661"/>
    <x v="1"/>
    <x v="1"/>
    <x v="0"/>
    <n v="4"/>
    <n v="4344"/>
    <n v="461.72"/>
  </r>
  <r>
    <x v="368"/>
    <x v="2"/>
    <x v="2"/>
    <x v="0"/>
    <n v="1"/>
    <n v="1130"/>
    <n v="268.88"/>
  </r>
  <r>
    <x v="705"/>
    <x v="4"/>
    <x v="1"/>
    <x v="0"/>
    <n v="3"/>
    <n v="1698"/>
    <n v="304.91000000000003"/>
  </r>
  <r>
    <x v="128"/>
    <x v="2"/>
    <x v="2"/>
    <x v="1"/>
    <n v="4"/>
    <n v="844"/>
    <n v="136.02000000000001"/>
  </r>
  <r>
    <x v="507"/>
    <x v="0"/>
    <x v="0"/>
    <x v="3"/>
    <n v="2"/>
    <n v="2286"/>
    <n v="218.18"/>
  </r>
  <r>
    <x v="706"/>
    <x v="3"/>
    <x v="2"/>
    <x v="1"/>
    <n v="2"/>
    <n v="1026"/>
    <n v="170.31"/>
  </r>
  <r>
    <x v="707"/>
    <x v="9"/>
    <x v="2"/>
    <x v="3"/>
    <n v="6"/>
    <n v="6984"/>
    <n v="1433.65"/>
  </r>
  <r>
    <x v="337"/>
    <x v="6"/>
    <x v="1"/>
    <x v="3"/>
    <n v="4"/>
    <n v="1672"/>
    <n v="432.35"/>
  </r>
  <r>
    <x v="690"/>
    <x v="9"/>
    <x v="2"/>
    <x v="0"/>
    <n v="6"/>
    <n v="1092"/>
    <n v="63.98"/>
  </r>
  <r>
    <x v="330"/>
    <x v="4"/>
    <x v="1"/>
    <x v="2"/>
    <n v="2"/>
    <n v="272"/>
    <n v="24.71"/>
  </r>
  <r>
    <x v="477"/>
    <x v="4"/>
    <x v="1"/>
    <x v="3"/>
    <n v="2"/>
    <n v="1126"/>
    <n v="204.99"/>
  </r>
  <r>
    <x v="708"/>
    <x v="1"/>
    <x v="1"/>
    <x v="3"/>
    <n v="7"/>
    <n v="8155"/>
    <n v="2177.38"/>
  </r>
  <r>
    <x v="46"/>
    <x v="5"/>
    <x v="2"/>
    <x v="1"/>
    <n v="7"/>
    <n v="4298"/>
    <n v="358.38"/>
  </r>
  <r>
    <x v="527"/>
    <x v="7"/>
    <x v="2"/>
    <x v="1"/>
    <n v="5"/>
    <n v="1365"/>
    <n v="310.66000000000003"/>
  </r>
  <r>
    <x v="271"/>
    <x v="3"/>
    <x v="2"/>
    <x v="3"/>
    <n v="6"/>
    <n v="4116"/>
    <n v="381.35"/>
  </r>
  <r>
    <x v="709"/>
    <x v="4"/>
    <x v="1"/>
    <x v="2"/>
    <n v="8"/>
    <n v="904"/>
    <n v="181.45"/>
  </r>
  <r>
    <x v="227"/>
    <x v="5"/>
    <x v="2"/>
    <x v="2"/>
    <n v="1"/>
    <n v="70"/>
    <n v="10.64"/>
  </r>
  <r>
    <x v="647"/>
    <x v="8"/>
    <x v="1"/>
    <x v="1"/>
    <n v="2"/>
    <n v="344"/>
    <n v="72.87"/>
  </r>
  <r>
    <x v="372"/>
    <x v="0"/>
    <x v="0"/>
    <x v="1"/>
    <n v="1"/>
    <n v="330"/>
    <n v="78.52"/>
  </r>
  <r>
    <x v="571"/>
    <x v="4"/>
    <x v="1"/>
    <x v="2"/>
    <n v="2"/>
    <n v="518"/>
    <n v="34.22"/>
  </r>
  <r>
    <x v="480"/>
    <x v="1"/>
    <x v="1"/>
    <x v="0"/>
    <n v="9"/>
    <n v="2763"/>
    <n v="458.4"/>
  </r>
  <r>
    <x v="627"/>
    <x v="5"/>
    <x v="2"/>
    <x v="0"/>
    <n v="2"/>
    <n v="2298"/>
    <n v="343.53"/>
  </r>
  <r>
    <x v="710"/>
    <x v="6"/>
    <x v="1"/>
    <x v="2"/>
    <n v="1"/>
    <n v="436"/>
    <n v="73.89"/>
  </r>
  <r>
    <x v="711"/>
    <x v="1"/>
    <x v="1"/>
    <x v="1"/>
    <n v="6"/>
    <n v="1824"/>
    <n v="213.47"/>
  </r>
  <r>
    <x v="446"/>
    <x v="9"/>
    <x v="2"/>
    <x v="0"/>
    <n v="5"/>
    <n v="1540"/>
    <n v="411.83"/>
  </r>
  <r>
    <x v="107"/>
    <x v="2"/>
    <x v="2"/>
    <x v="1"/>
    <n v="7"/>
    <n v="5572"/>
    <n v="385.82"/>
  </r>
  <r>
    <x v="630"/>
    <x v="6"/>
    <x v="1"/>
    <x v="1"/>
    <n v="6"/>
    <n v="3030"/>
    <n v="335.71"/>
  </r>
  <r>
    <x v="348"/>
    <x v="6"/>
    <x v="1"/>
    <x v="3"/>
    <n v="5"/>
    <n v="1245"/>
    <n v="345.84"/>
  </r>
  <r>
    <x v="429"/>
    <x v="2"/>
    <x v="2"/>
    <x v="2"/>
    <n v="4"/>
    <n v="1252"/>
    <n v="326.69"/>
  </r>
  <r>
    <x v="712"/>
    <x v="3"/>
    <x v="2"/>
    <x v="0"/>
    <n v="9"/>
    <n v="4959"/>
    <n v="479.28"/>
  </r>
  <r>
    <x v="390"/>
    <x v="6"/>
    <x v="1"/>
    <x v="3"/>
    <n v="7"/>
    <n v="8162"/>
    <n v="443.81"/>
  </r>
  <r>
    <x v="251"/>
    <x v="6"/>
    <x v="1"/>
    <x v="1"/>
    <n v="5"/>
    <n v="1370"/>
    <n v="253.92"/>
  </r>
  <r>
    <x v="55"/>
    <x v="2"/>
    <x v="2"/>
    <x v="0"/>
    <n v="3"/>
    <n v="3111"/>
    <n v="607.23"/>
  </r>
  <r>
    <x v="645"/>
    <x v="1"/>
    <x v="1"/>
    <x v="2"/>
    <n v="7"/>
    <n v="7805"/>
    <n v="1078.03"/>
  </r>
  <r>
    <x v="265"/>
    <x v="7"/>
    <x v="2"/>
    <x v="2"/>
    <n v="9"/>
    <n v="10314"/>
    <n v="2729.6"/>
  </r>
  <r>
    <x v="279"/>
    <x v="8"/>
    <x v="1"/>
    <x v="2"/>
    <n v="9"/>
    <n v="10782"/>
    <n v="2730.14"/>
  </r>
  <r>
    <x v="9"/>
    <x v="6"/>
    <x v="1"/>
    <x v="3"/>
    <n v="5"/>
    <n v="4375"/>
    <n v="987.96"/>
  </r>
  <r>
    <x v="713"/>
    <x v="6"/>
    <x v="1"/>
    <x v="0"/>
    <n v="5"/>
    <n v="2265"/>
    <n v="595.04999999999995"/>
  </r>
  <r>
    <x v="102"/>
    <x v="9"/>
    <x v="2"/>
    <x v="1"/>
    <n v="1"/>
    <n v="166"/>
    <n v="9.69"/>
  </r>
  <r>
    <x v="134"/>
    <x v="4"/>
    <x v="1"/>
    <x v="0"/>
    <n v="7"/>
    <n v="7217"/>
    <n v="1481.7"/>
  </r>
  <r>
    <x v="714"/>
    <x v="2"/>
    <x v="2"/>
    <x v="1"/>
    <n v="3"/>
    <n v="1767"/>
    <n v="186.54"/>
  </r>
  <r>
    <x v="216"/>
    <x v="9"/>
    <x v="2"/>
    <x v="1"/>
    <n v="3"/>
    <n v="2883"/>
    <n v="557.80999999999995"/>
  </r>
  <r>
    <x v="235"/>
    <x v="5"/>
    <x v="2"/>
    <x v="2"/>
    <n v="3"/>
    <n v="1338"/>
    <n v="396.08"/>
  </r>
  <r>
    <x v="715"/>
    <x v="0"/>
    <x v="0"/>
    <x v="1"/>
    <n v="9"/>
    <n v="9459"/>
    <n v="604.05999999999995"/>
  </r>
  <r>
    <x v="42"/>
    <x v="0"/>
    <x v="0"/>
    <x v="0"/>
    <n v="3"/>
    <n v="168"/>
    <n v="45.31"/>
  </r>
  <r>
    <x v="716"/>
    <x v="7"/>
    <x v="2"/>
    <x v="2"/>
    <n v="9"/>
    <n v="4536"/>
    <n v="479.78"/>
  </r>
  <r>
    <x v="543"/>
    <x v="1"/>
    <x v="1"/>
    <x v="1"/>
    <n v="4"/>
    <n v="4404"/>
    <n v="793.7"/>
  </r>
  <r>
    <x v="641"/>
    <x v="6"/>
    <x v="1"/>
    <x v="0"/>
    <n v="4"/>
    <n v="1952"/>
    <n v="148.66999999999999"/>
  </r>
  <r>
    <x v="717"/>
    <x v="1"/>
    <x v="1"/>
    <x v="0"/>
    <n v="3"/>
    <n v="2004"/>
    <n v="467.76"/>
  </r>
  <r>
    <x v="718"/>
    <x v="8"/>
    <x v="1"/>
    <x v="2"/>
    <n v="4"/>
    <n v="468"/>
    <n v="131.47999999999999"/>
  </r>
  <r>
    <x v="719"/>
    <x v="7"/>
    <x v="2"/>
    <x v="3"/>
    <n v="9"/>
    <n v="8667"/>
    <n v="1597.49"/>
  </r>
  <r>
    <x v="720"/>
    <x v="0"/>
    <x v="0"/>
    <x v="3"/>
    <n v="7"/>
    <n v="6097"/>
    <n v="567.32000000000005"/>
  </r>
  <r>
    <x v="721"/>
    <x v="4"/>
    <x v="1"/>
    <x v="2"/>
    <n v="9"/>
    <n v="4752"/>
    <n v="1415.65"/>
  </r>
  <r>
    <x v="253"/>
    <x v="8"/>
    <x v="1"/>
    <x v="1"/>
    <n v="1"/>
    <n v="1172"/>
    <n v="124.9"/>
  </r>
  <r>
    <x v="696"/>
    <x v="8"/>
    <x v="1"/>
    <x v="0"/>
    <n v="2"/>
    <n v="1608"/>
    <n v="170.29"/>
  </r>
  <r>
    <x v="722"/>
    <x v="0"/>
    <x v="0"/>
    <x v="2"/>
    <n v="7"/>
    <n v="7595"/>
    <n v="969.07"/>
  </r>
  <r>
    <x v="426"/>
    <x v="5"/>
    <x v="2"/>
    <x v="3"/>
    <n v="1"/>
    <n v="1142"/>
    <n v="306.83999999999997"/>
  </r>
  <r>
    <x v="723"/>
    <x v="8"/>
    <x v="1"/>
    <x v="0"/>
    <n v="2"/>
    <n v="116"/>
    <n v="13.67"/>
  </r>
  <r>
    <x v="437"/>
    <x v="7"/>
    <x v="2"/>
    <x v="1"/>
    <n v="9"/>
    <n v="3951"/>
    <n v="908.13"/>
  </r>
  <r>
    <x v="12"/>
    <x v="8"/>
    <x v="1"/>
    <x v="1"/>
    <n v="2"/>
    <n v="1606"/>
    <n v="138.96"/>
  </r>
  <r>
    <x v="724"/>
    <x v="4"/>
    <x v="1"/>
    <x v="2"/>
    <n v="3"/>
    <n v="2025"/>
    <n v="403"/>
  </r>
  <r>
    <x v="684"/>
    <x v="5"/>
    <x v="2"/>
    <x v="3"/>
    <n v="2"/>
    <n v="2006"/>
    <n v="235.52"/>
  </r>
  <r>
    <x v="230"/>
    <x v="3"/>
    <x v="2"/>
    <x v="2"/>
    <n v="9"/>
    <n v="9423"/>
    <n v="652.05999999999995"/>
  </r>
  <r>
    <x v="108"/>
    <x v="9"/>
    <x v="2"/>
    <x v="0"/>
    <n v="4"/>
    <n v="2276"/>
    <n v="399.94"/>
  </r>
  <r>
    <x v="326"/>
    <x v="6"/>
    <x v="1"/>
    <x v="3"/>
    <n v="5"/>
    <n v="4880"/>
    <n v="664.06"/>
  </r>
  <r>
    <x v="723"/>
    <x v="9"/>
    <x v="2"/>
    <x v="1"/>
    <n v="3"/>
    <n v="1773"/>
    <n v="183.15"/>
  </r>
  <r>
    <x v="304"/>
    <x v="5"/>
    <x v="2"/>
    <x v="2"/>
    <n v="9"/>
    <n v="2718"/>
    <n v="195.97"/>
  </r>
  <r>
    <x v="256"/>
    <x v="4"/>
    <x v="1"/>
    <x v="1"/>
    <n v="4"/>
    <n v="3168"/>
    <n v="939.45"/>
  </r>
  <r>
    <x v="429"/>
    <x v="3"/>
    <x v="2"/>
    <x v="3"/>
    <n v="2"/>
    <n v="1716"/>
    <n v="368.06"/>
  </r>
  <r>
    <x v="725"/>
    <x v="7"/>
    <x v="2"/>
    <x v="3"/>
    <n v="2"/>
    <n v="214"/>
    <n v="14.08"/>
  </r>
  <r>
    <x v="712"/>
    <x v="3"/>
    <x v="2"/>
    <x v="1"/>
    <n v="2"/>
    <n v="2092"/>
    <n v="366.12"/>
  </r>
  <r>
    <x v="726"/>
    <x v="4"/>
    <x v="1"/>
    <x v="3"/>
    <n v="3"/>
    <n v="225"/>
    <n v="46.96"/>
  </r>
  <r>
    <x v="99"/>
    <x v="5"/>
    <x v="2"/>
    <x v="1"/>
    <n v="1"/>
    <n v="859"/>
    <n v="217.67"/>
  </r>
  <r>
    <x v="243"/>
    <x v="0"/>
    <x v="0"/>
    <x v="3"/>
    <n v="2"/>
    <n v="2070"/>
    <n v="183.41"/>
  </r>
  <r>
    <x v="428"/>
    <x v="8"/>
    <x v="1"/>
    <x v="2"/>
    <n v="6"/>
    <n v="3240"/>
    <n v="758.19"/>
  </r>
  <r>
    <x v="727"/>
    <x v="2"/>
    <x v="2"/>
    <x v="1"/>
    <n v="2"/>
    <n v="1748"/>
    <n v="506.52"/>
  </r>
  <r>
    <x v="573"/>
    <x v="1"/>
    <x v="1"/>
    <x v="3"/>
    <n v="8"/>
    <n v="2080"/>
    <n v="108.48"/>
  </r>
  <r>
    <x v="316"/>
    <x v="5"/>
    <x v="2"/>
    <x v="0"/>
    <n v="3"/>
    <n v="2193"/>
    <n v="521.14"/>
  </r>
  <r>
    <x v="682"/>
    <x v="4"/>
    <x v="1"/>
    <x v="3"/>
    <n v="5"/>
    <n v="2080"/>
    <n v="614.77"/>
  </r>
  <r>
    <x v="728"/>
    <x v="1"/>
    <x v="1"/>
    <x v="2"/>
    <n v="5"/>
    <n v="5070"/>
    <n v="986.39"/>
  </r>
  <r>
    <x v="729"/>
    <x v="9"/>
    <x v="2"/>
    <x v="2"/>
    <n v="7"/>
    <n v="469"/>
    <n v="47.4"/>
  </r>
  <r>
    <x v="370"/>
    <x v="0"/>
    <x v="0"/>
    <x v="2"/>
    <n v="1"/>
    <n v="802"/>
    <n v="153.55000000000001"/>
  </r>
  <r>
    <x v="0"/>
    <x v="7"/>
    <x v="2"/>
    <x v="3"/>
    <n v="6"/>
    <n v="930"/>
    <n v="213.6"/>
  </r>
  <r>
    <x v="730"/>
    <x v="5"/>
    <x v="2"/>
    <x v="2"/>
    <n v="1"/>
    <n v="495"/>
    <n v="55.17"/>
  </r>
  <r>
    <x v="452"/>
    <x v="6"/>
    <x v="1"/>
    <x v="1"/>
    <n v="6"/>
    <n v="4938"/>
    <n v="847.89"/>
  </r>
  <r>
    <x v="116"/>
    <x v="2"/>
    <x v="2"/>
    <x v="2"/>
    <n v="2"/>
    <n v="1300"/>
    <n v="267.45999999999998"/>
  </r>
  <r>
    <x v="731"/>
    <x v="1"/>
    <x v="1"/>
    <x v="2"/>
    <n v="7"/>
    <n v="2100"/>
    <n v="131.66999999999999"/>
  </r>
  <r>
    <x v="732"/>
    <x v="3"/>
    <x v="2"/>
    <x v="2"/>
    <n v="2"/>
    <n v="2248"/>
    <n v="636.52"/>
  </r>
  <r>
    <x v="64"/>
    <x v="4"/>
    <x v="1"/>
    <x v="0"/>
    <n v="8"/>
    <n v="7096"/>
    <n v="991.23"/>
  </r>
  <r>
    <x v="728"/>
    <x v="4"/>
    <x v="1"/>
    <x v="1"/>
    <n v="3"/>
    <n v="1992"/>
    <n v="252.21"/>
  </r>
  <r>
    <x v="196"/>
    <x v="3"/>
    <x v="2"/>
    <x v="2"/>
    <n v="4"/>
    <n v="4056"/>
    <n v="1189.26"/>
  </r>
  <r>
    <x v="733"/>
    <x v="3"/>
    <x v="2"/>
    <x v="1"/>
    <n v="2"/>
    <n v="1986"/>
    <n v="208.88"/>
  </r>
  <r>
    <x v="263"/>
    <x v="0"/>
    <x v="0"/>
    <x v="1"/>
    <n v="3"/>
    <n v="1635"/>
    <n v="196.73"/>
  </r>
  <r>
    <x v="408"/>
    <x v="5"/>
    <x v="2"/>
    <x v="1"/>
    <n v="9"/>
    <n v="3132"/>
    <n v="443.27"/>
  </r>
  <r>
    <x v="722"/>
    <x v="7"/>
    <x v="2"/>
    <x v="2"/>
    <n v="8"/>
    <n v="7064"/>
    <n v="1554.52"/>
  </r>
  <r>
    <x v="3"/>
    <x v="3"/>
    <x v="2"/>
    <x v="1"/>
    <n v="1"/>
    <n v="907"/>
    <n v="249.2"/>
  </r>
  <r>
    <x v="485"/>
    <x v="1"/>
    <x v="1"/>
    <x v="2"/>
    <n v="9"/>
    <n v="7938"/>
    <n v="1191.4100000000001"/>
  </r>
  <r>
    <x v="734"/>
    <x v="0"/>
    <x v="0"/>
    <x v="2"/>
    <n v="4"/>
    <n v="4360"/>
    <n v="1207.46"/>
  </r>
  <r>
    <x v="315"/>
    <x v="8"/>
    <x v="1"/>
    <x v="3"/>
    <n v="3"/>
    <n v="375"/>
    <n v="95.04"/>
  </r>
  <r>
    <x v="440"/>
    <x v="6"/>
    <x v="1"/>
    <x v="0"/>
    <n v="7"/>
    <n v="826"/>
    <n v="101.01"/>
  </r>
  <r>
    <x v="609"/>
    <x v="4"/>
    <x v="1"/>
    <x v="1"/>
    <n v="1"/>
    <n v="1011"/>
    <n v="186.42"/>
  </r>
  <r>
    <x v="735"/>
    <x v="1"/>
    <x v="1"/>
    <x v="1"/>
    <n v="3"/>
    <n v="807"/>
    <n v="148.58000000000001"/>
  </r>
  <r>
    <x v="61"/>
    <x v="4"/>
    <x v="1"/>
    <x v="0"/>
    <n v="2"/>
    <n v="1840"/>
    <n v="367.7"/>
  </r>
  <r>
    <x v="736"/>
    <x v="8"/>
    <x v="1"/>
    <x v="3"/>
    <n v="5"/>
    <n v="4550"/>
    <n v="1039.3399999999999"/>
  </r>
  <r>
    <x v="737"/>
    <x v="7"/>
    <x v="2"/>
    <x v="0"/>
    <n v="9"/>
    <n v="8793"/>
    <n v="901.7"/>
  </r>
  <r>
    <x v="53"/>
    <x v="4"/>
    <x v="1"/>
    <x v="0"/>
    <n v="5"/>
    <n v="310"/>
    <n v="32.01"/>
  </r>
  <r>
    <x v="687"/>
    <x v="4"/>
    <x v="1"/>
    <x v="1"/>
    <n v="3"/>
    <n v="1143"/>
    <n v="275.04000000000002"/>
  </r>
  <r>
    <x v="149"/>
    <x v="6"/>
    <x v="1"/>
    <x v="3"/>
    <n v="3"/>
    <n v="2610"/>
    <n v="740.21"/>
  </r>
  <r>
    <x v="462"/>
    <x v="2"/>
    <x v="2"/>
    <x v="3"/>
    <n v="6"/>
    <n v="1494"/>
    <n v="269.25"/>
  </r>
  <r>
    <x v="738"/>
    <x v="7"/>
    <x v="2"/>
    <x v="0"/>
    <n v="4"/>
    <n v="1524"/>
    <n v="189.32"/>
  </r>
  <r>
    <x v="523"/>
    <x v="2"/>
    <x v="2"/>
    <x v="0"/>
    <n v="9"/>
    <n v="9441"/>
    <n v="2171.42"/>
  </r>
  <r>
    <x v="316"/>
    <x v="7"/>
    <x v="2"/>
    <x v="2"/>
    <n v="4"/>
    <n v="3520"/>
    <n v="417.26"/>
  </r>
  <r>
    <x v="46"/>
    <x v="2"/>
    <x v="2"/>
    <x v="3"/>
    <n v="2"/>
    <n v="390"/>
    <n v="103.99"/>
  </r>
  <r>
    <x v="739"/>
    <x v="0"/>
    <x v="0"/>
    <x v="2"/>
    <n v="3"/>
    <n v="3219"/>
    <n v="255.09"/>
  </r>
  <r>
    <x v="158"/>
    <x v="9"/>
    <x v="2"/>
    <x v="0"/>
    <n v="1"/>
    <n v="450"/>
    <n v="75.89"/>
  </r>
  <r>
    <x v="212"/>
    <x v="5"/>
    <x v="2"/>
    <x v="2"/>
    <n v="4"/>
    <n v="828"/>
    <n v="216.98"/>
  </r>
  <r>
    <x v="47"/>
    <x v="0"/>
    <x v="0"/>
    <x v="1"/>
    <n v="1"/>
    <n v="1146"/>
    <n v="152.79"/>
  </r>
  <r>
    <x v="53"/>
    <x v="6"/>
    <x v="1"/>
    <x v="3"/>
    <n v="3"/>
    <n v="1986"/>
    <n v="361.33"/>
  </r>
  <r>
    <x v="88"/>
    <x v="5"/>
    <x v="2"/>
    <x v="0"/>
    <n v="8"/>
    <n v="7264"/>
    <n v="1776.83"/>
  </r>
  <r>
    <x v="682"/>
    <x v="9"/>
    <x v="2"/>
    <x v="1"/>
    <n v="7"/>
    <n v="7469"/>
    <n v="915.63"/>
  </r>
  <r>
    <x v="740"/>
    <x v="9"/>
    <x v="2"/>
    <x v="2"/>
    <n v="5"/>
    <n v="1385"/>
    <n v="165.55"/>
  </r>
  <r>
    <x v="420"/>
    <x v="2"/>
    <x v="2"/>
    <x v="0"/>
    <n v="4"/>
    <n v="4556"/>
    <n v="315.07"/>
  </r>
  <r>
    <x v="741"/>
    <x v="6"/>
    <x v="1"/>
    <x v="0"/>
    <n v="3"/>
    <n v="456"/>
    <n v="61.42"/>
  </r>
  <r>
    <x v="131"/>
    <x v="6"/>
    <x v="1"/>
    <x v="0"/>
    <n v="2"/>
    <n v="1984"/>
    <n v="125.13"/>
  </r>
  <r>
    <x v="545"/>
    <x v="5"/>
    <x v="2"/>
    <x v="0"/>
    <n v="6"/>
    <n v="5178"/>
    <n v="1321.58"/>
  </r>
  <r>
    <x v="742"/>
    <x v="5"/>
    <x v="2"/>
    <x v="3"/>
    <n v="1"/>
    <n v="281"/>
    <n v="30.51"/>
  </r>
  <r>
    <x v="48"/>
    <x v="6"/>
    <x v="1"/>
    <x v="2"/>
    <n v="9"/>
    <n v="3033"/>
    <n v="177.92"/>
  </r>
  <r>
    <x v="743"/>
    <x v="3"/>
    <x v="2"/>
    <x v="1"/>
    <n v="3"/>
    <n v="1107"/>
    <n v="65.88"/>
  </r>
  <r>
    <x v="243"/>
    <x v="1"/>
    <x v="1"/>
    <x v="2"/>
    <n v="3"/>
    <n v="1446"/>
    <n v="356.7"/>
  </r>
  <r>
    <x v="624"/>
    <x v="0"/>
    <x v="0"/>
    <x v="0"/>
    <n v="3"/>
    <n v="1335"/>
    <n v="263.04000000000002"/>
  </r>
  <r>
    <x v="744"/>
    <x v="1"/>
    <x v="1"/>
    <x v="2"/>
    <n v="2"/>
    <n v="266"/>
    <n v="20.11"/>
  </r>
  <r>
    <x v="127"/>
    <x v="7"/>
    <x v="2"/>
    <x v="3"/>
    <n v="6"/>
    <n v="648"/>
    <n v="162.30000000000001"/>
  </r>
  <r>
    <x v="745"/>
    <x v="2"/>
    <x v="2"/>
    <x v="2"/>
    <n v="2"/>
    <n v="344"/>
    <n v="80.87"/>
  </r>
  <r>
    <x v="538"/>
    <x v="7"/>
    <x v="2"/>
    <x v="3"/>
    <n v="6"/>
    <n v="5724"/>
    <n v="1640.19"/>
  </r>
  <r>
    <x v="746"/>
    <x v="4"/>
    <x v="1"/>
    <x v="1"/>
    <n v="5"/>
    <n v="4920"/>
    <n v="323.38"/>
  </r>
  <r>
    <x v="747"/>
    <x v="3"/>
    <x v="2"/>
    <x v="3"/>
    <n v="5"/>
    <n v="5440"/>
    <n v="457.04"/>
  </r>
  <r>
    <x v="702"/>
    <x v="7"/>
    <x v="2"/>
    <x v="3"/>
    <n v="7"/>
    <n v="7994"/>
    <n v="908.65"/>
  </r>
  <r>
    <x v="320"/>
    <x v="3"/>
    <x v="2"/>
    <x v="2"/>
    <n v="9"/>
    <n v="3780"/>
    <n v="724.36"/>
  </r>
  <r>
    <x v="748"/>
    <x v="7"/>
    <x v="2"/>
    <x v="0"/>
    <n v="1"/>
    <n v="1017"/>
    <n v="209.97"/>
  </r>
  <r>
    <x v="171"/>
    <x v="7"/>
    <x v="2"/>
    <x v="3"/>
    <n v="6"/>
    <n v="1578"/>
    <n v="82.85"/>
  </r>
  <r>
    <x v="6"/>
    <x v="7"/>
    <x v="2"/>
    <x v="2"/>
    <n v="2"/>
    <n v="912"/>
    <n v="161.37"/>
  </r>
  <r>
    <x v="423"/>
    <x v="9"/>
    <x v="2"/>
    <x v="3"/>
    <n v="6"/>
    <n v="2520"/>
    <n v="182.59"/>
  </r>
  <r>
    <x v="486"/>
    <x v="1"/>
    <x v="1"/>
    <x v="1"/>
    <n v="8"/>
    <n v="2632"/>
    <n v="262.55"/>
  </r>
  <r>
    <x v="749"/>
    <x v="6"/>
    <x v="1"/>
    <x v="3"/>
    <n v="6"/>
    <n v="6582"/>
    <n v="729.68"/>
  </r>
  <r>
    <x v="750"/>
    <x v="3"/>
    <x v="2"/>
    <x v="1"/>
    <n v="8"/>
    <n v="3432"/>
    <n v="172.69"/>
  </r>
  <r>
    <x v="593"/>
    <x v="8"/>
    <x v="1"/>
    <x v="2"/>
    <n v="2"/>
    <n v="1030"/>
    <n v="254.65"/>
  </r>
  <r>
    <x v="375"/>
    <x v="1"/>
    <x v="1"/>
    <x v="3"/>
    <n v="8"/>
    <n v="1192"/>
    <n v="289.91000000000003"/>
  </r>
  <r>
    <x v="751"/>
    <x v="0"/>
    <x v="0"/>
    <x v="3"/>
    <n v="9"/>
    <n v="7083"/>
    <n v="994.47"/>
  </r>
  <r>
    <x v="752"/>
    <x v="0"/>
    <x v="0"/>
    <x v="2"/>
    <n v="7"/>
    <n v="3675"/>
    <n v="227.14"/>
  </r>
  <r>
    <x v="95"/>
    <x v="6"/>
    <x v="1"/>
    <x v="0"/>
    <n v="4"/>
    <n v="4740"/>
    <n v="833.27"/>
  </r>
  <r>
    <x v="290"/>
    <x v="4"/>
    <x v="1"/>
    <x v="1"/>
    <n v="4"/>
    <n v="1716"/>
    <n v="364.96"/>
  </r>
  <r>
    <x v="33"/>
    <x v="0"/>
    <x v="0"/>
    <x v="2"/>
    <n v="7"/>
    <n v="3528"/>
    <n v="260.06"/>
  </r>
  <r>
    <x v="753"/>
    <x v="3"/>
    <x v="2"/>
    <x v="2"/>
    <n v="3"/>
    <n v="777"/>
    <n v="71.72"/>
  </r>
  <r>
    <x v="754"/>
    <x v="3"/>
    <x v="2"/>
    <x v="1"/>
    <n v="4"/>
    <n v="3368"/>
    <n v="558.92999999999995"/>
  </r>
  <r>
    <x v="755"/>
    <x v="2"/>
    <x v="2"/>
    <x v="0"/>
    <n v="4"/>
    <n v="4240"/>
    <n v="251.46"/>
  </r>
  <r>
    <x v="102"/>
    <x v="9"/>
    <x v="2"/>
    <x v="2"/>
    <n v="3"/>
    <n v="3285"/>
    <n v="292.87"/>
  </r>
  <r>
    <x v="485"/>
    <x v="7"/>
    <x v="2"/>
    <x v="2"/>
    <n v="6"/>
    <n v="4872"/>
    <n v="612.73"/>
  </r>
  <r>
    <x v="108"/>
    <x v="7"/>
    <x v="2"/>
    <x v="1"/>
    <n v="9"/>
    <n v="2466"/>
    <n v="638.41"/>
  </r>
  <r>
    <x v="756"/>
    <x v="2"/>
    <x v="2"/>
    <x v="3"/>
    <n v="5"/>
    <n v="2465"/>
    <n v="497.19"/>
  </r>
  <r>
    <x v="332"/>
    <x v="2"/>
    <x v="2"/>
    <x v="0"/>
    <n v="3"/>
    <n v="612"/>
    <n v="40.15"/>
  </r>
  <r>
    <x v="757"/>
    <x v="2"/>
    <x v="2"/>
    <x v="2"/>
    <n v="5"/>
    <n v="4170"/>
    <n v="658.98"/>
  </r>
  <r>
    <x v="420"/>
    <x v="3"/>
    <x v="2"/>
    <x v="2"/>
    <n v="8"/>
    <n v="1088"/>
    <n v="160.33000000000001"/>
  </r>
  <r>
    <x v="539"/>
    <x v="8"/>
    <x v="1"/>
    <x v="3"/>
    <n v="2"/>
    <n v="1626"/>
    <n v="354.49"/>
  </r>
  <r>
    <x v="577"/>
    <x v="7"/>
    <x v="2"/>
    <x v="0"/>
    <n v="6"/>
    <n v="6486"/>
    <n v="359.49"/>
  </r>
  <r>
    <x v="91"/>
    <x v="6"/>
    <x v="1"/>
    <x v="3"/>
    <n v="8"/>
    <n v="6968"/>
    <n v="1226.22"/>
  </r>
  <r>
    <x v="456"/>
    <x v="7"/>
    <x v="2"/>
    <x v="0"/>
    <n v="1"/>
    <n v="357"/>
    <n v="82.86"/>
  </r>
  <r>
    <x v="298"/>
    <x v="9"/>
    <x v="2"/>
    <x v="2"/>
    <n v="1"/>
    <n v="454"/>
    <n v="58.4"/>
  </r>
  <r>
    <x v="758"/>
    <x v="2"/>
    <x v="2"/>
    <x v="1"/>
    <n v="3"/>
    <n v="3582"/>
    <n v="501.47"/>
  </r>
  <r>
    <x v="759"/>
    <x v="2"/>
    <x v="2"/>
    <x v="3"/>
    <n v="9"/>
    <n v="3762"/>
    <n v="484.75"/>
  </r>
  <r>
    <x v="502"/>
    <x v="5"/>
    <x v="2"/>
    <x v="2"/>
    <n v="9"/>
    <n v="6642"/>
    <n v="394.48"/>
  </r>
  <r>
    <x v="407"/>
    <x v="6"/>
    <x v="1"/>
    <x v="3"/>
    <n v="4"/>
    <n v="408"/>
    <n v="45.2"/>
  </r>
  <r>
    <x v="729"/>
    <x v="2"/>
    <x v="2"/>
    <x v="3"/>
    <n v="1"/>
    <n v="105"/>
    <n v="25.26"/>
  </r>
  <r>
    <x v="28"/>
    <x v="2"/>
    <x v="2"/>
    <x v="3"/>
    <n v="3"/>
    <n v="2682"/>
    <n v="584.69000000000005"/>
  </r>
  <r>
    <x v="568"/>
    <x v="8"/>
    <x v="1"/>
    <x v="1"/>
    <n v="7"/>
    <n v="497"/>
    <n v="76.31"/>
  </r>
  <r>
    <x v="688"/>
    <x v="0"/>
    <x v="0"/>
    <x v="2"/>
    <n v="7"/>
    <n v="4823"/>
    <n v="420.58"/>
  </r>
  <r>
    <x v="244"/>
    <x v="5"/>
    <x v="2"/>
    <x v="0"/>
    <n v="8"/>
    <n v="4048"/>
    <n v="666.1"/>
  </r>
  <r>
    <x v="668"/>
    <x v="0"/>
    <x v="0"/>
    <x v="2"/>
    <n v="7"/>
    <n v="2758"/>
    <n v="459.02"/>
  </r>
  <r>
    <x v="717"/>
    <x v="7"/>
    <x v="2"/>
    <x v="0"/>
    <n v="8"/>
    <n v="4096"/>
    <n v="266.35000000000002"/>
  </r>
  <r>
    <x v="328"/>
    <x v="0"/>
    <x v="0"/>
    <x v="0"/>
    <n v="8"/>
    <n v="7264"/>
    <n v="1318"/>
  </r>
  <r>
    <x v="584"/>
    <x v="1"/>
    <x v="1"/>
    <x v="1"/>
    <n v="6"/>
    <n v="4302"/>
    <n v="957.38"/>
  </r>
  <r>
    <x v="204"/>
    <x v="0"/>
    <x v="0"/>
    <x v="0"/>
    <n v="7"/>
    <n v="3297"/>
    <n v="583.86"/>
  </r>
  <r>
    <x v="760"/>
    <x v="0"/>
    <x v="0"/>
    <x v="0"/>
    <n v="5"/>
    <n v="5960"/>
    <n v="1139.78"/>
  </r>
  <r>
    <x v="31"/>
    <x v="8"/>
    <x v="1"/>
    <x v="3"/>
    <n v="1"/>
    <n v="386"/>
    <n v="114.9"/>
  </r>
  <r>
    <x v="761"/>
    <x v="0"/>
    <x v="0"/>
    <x v="3"/>
    <n v="1"/>
    <n v="684"/>
    <n v="170.36"/>
  </r>
  <r>
    <x v="575"/>
    <x v="9"/>
    <x v="2"/>
    <x v="2"/>
    <n v="3"/>
    <n v="1275"/>
    <n v="168.64"/>
  </r>
  <r>
    <x v="698"/>
    <x v="1"/>
    <x v="1"/>
    <x v="0"/>
    <n v="9"/>
    <n v="5949"/>
    <n v="368.51"/>
  </r>
  <r>
    <x v="762"/>
    <x v="3"/>
    <x v="2"/>
    <x v="1"/>
    <n v="7"/>
    <n v="5159"/>
    <n v="755.22"/>
  </r>
  <r>
    <x v="595"/>
    <x v="6"/>
    <x v="1"/>
    <x v="0"/>
    <n v="4"/>
    <n v="1100"/>
    <n v="127.13"/>
  </r>
  <r>
    <x v="611"/>
    <x v="1"/>
    <x v="1"/>
    <x v="2"/>
    <n v="2"/>
    <n v="290"/>
    <n v="50.23"/>
  </r>
  <r>
    <x v="613"/>
    <x v="5"/>
    <x v="2"/>
    <x v="1"/>
    <n v="8"/>
    <n v="7144"/>
    <n v="492.1"/>
  </r>
  <r>
    <x v="763"/>
    <x v="8"/>
    <x v="1"/>
    <x v="3"/>
    <n v="5"/>
    <n v="4200"/>
    <n v="330.48"/>
  </r>
  <r>
    <x v="89"/>
    <x v="6"/>
    <x v="1"/>
    <x v="0"/>
    <n v="6"/>
    <n v="5022"/>
    <n v="291.89"/>
  </r>
  <r>
    <x v="764"/>
    <x v="7"/>
    <x v="2"/>
    <x v="3"/>
    <n v="2"/>
    <n v="2354"/>
    <n v="371.34"/>
  </r>
  <r>
    <x v="152"/>
    <x v="7"/>
    <x v="2"/>
    <x v="2"/>
    <n v="2"/>
    <n v="2032"/>
    <n v="149.69999999999999"/>
  </r>
  <r>
    <x v="478"/>
    <x v="0"/>
    <x v="0"/>
    <x v="2"/>
    <n v="8"/>
    <n v="9528"/>
    <n v="1942.35"/>
  </r>
  <r>
    <x v="538"/>
    <x v="8"/>
    <x v="1"/>
    <x v="2"/>
    <n v="2"/>
    <n v="2372"/>
    <n v="275.88"/>
  </r>
  <r>
    <x v="699"/>
    <x v="9"/>
    <x v="2"/>
    <x v="3"/>
    <n v="3"/>
    <n v="2703"/>
    <n v="609.75"/>
  </r>
  <r>
    <x v="34"/>
    <x v="9"/>
    <x v="2"/>
    <x v="2"/>
    <n v="4"/>
    <n v="1264"/>
    <n v="267.82"/>
  </r>
  <r>
    <x v="765"/>
    <x v="7"/>
    <x v="2"/>
    <x v="2"/>
    <n v="4"/>
    <n v="1624"/>
    <n v="333.74"/>
  </r>
  <r>
    <x v="654"/>
    <x v="1"/>
    <x v="1"/>
    <x v="3"/>
    <n v="8"/>
    <n v="2976"/>
    <n v="507.77"/>
  </r>
  <r>
    <x v="766"/>
    <x v="4"/>
    <x v="1"/>
    <x v="3"/>
    <n v="6"/>
    <n v="4998"/>
    <n v="863.82"/>
  </r>
  <r>
    <x v="705"/>
    <x v="0"/>
    <x v="0"/>
    <x v="2"/>
    <n v="1"/>
    <n v="445"/>
    <n v="29.57"/>
  </r>
  <r>
    <x v="199"/>
    <x v="0"/>
    <x v="0"/>
    <x v="3"/>
    <n v="1"/>
    <n v="98"/>
    <n v="28.57"/>
  </r>
  <r>
    <x v="326"/>
    <x v="2"/>
    <x v="2"/>
    <x v="0"/>
    <n v="7"/>
    <n v="4102"/>
    <n v="354.03"/>
  </r>
  <r>
    <x v="182"/>
    <x v="0"/>
    <x v="0"/>
    <x v="0"/>
    <n v="1"/>
    <n v="1016"/>
    <n v="171.31"/>
  </r>
  <r>
    <x v="641"/>
    <x v="4"/>
    <x v="1"/>
    <x v="2"/>
    <n v="4"/>
    <n v="1960"/>
    <n v="234.88"/>
  </r>
  <r>
    <x v="767"/>
    <x v="1"/>
    <x v="1"/>
    <x v="3"/>
    <n v="7"/>
    <n v="2751"/>
    <n v="675.95"/>
  </r>
  <r>
    <x v="494"/>
    <x v="7"/>
    <x v="2"/>
    <x v="1"/>
    <n v="7"/>
    <n v="4032"/>
    <n v="742.98"/>
  </r>
  <r>
    <x v="311"/>
    <x v="7"/>
    <x v="2"/>
    <x v="3"/>
    <n v="7"/>
    <n v="5978"/>
    <n v="1791.25"/>
  </r>
  <r>
    <x v="309"/>
    <x v="4"/>
    <x v="1"/>
    <x v="3"/>
    <n v="7"/>
    <n v="8050"/>
    <n v="2129.9699999999998"/>
  </r>
  <r>
    <x v="342"/>
    <x v="6"/>
    <x v="1"/>
    <x v="1"/>
    <n v="7"/>
    <n v="4648"/>
    <n v="1240.98"/>
  </r>
  <r>
    <x v="646"/>
    <x v="7"/>
    <x v="2"/>
    <x v="0"/>
    <n v="3"/>
    <n v="1119"/>
    <n v="108.68"/>
  </r>
  <r>
    <x v="242"/>
    <x v="0"/>
    <x v="0"/>
    <x v="2"/>
    <n v="9"/>
    <n v="2178"/>
    <n v="382.67"/>
  </r>
  <r>
    <x v="731"/>
    <x v="9"/>
    <x v="2"/>
    <x v="1"/>
    <n v="1"/>
    <n v="918"/>
    <n v="180.31"/>
  </r>
  <r>
    <x v="43"/>
    <x v="7"/>
    <x v="2"/>
    <x v="1"/>
    <n v="9"/>
    <n v="6903"/>
    <n v="837.35"/>
  </r>
  <r>
    <x v="445"/>
    <x v="8"/>
    <x v="1"/>
    <x v="0"/>
    <n v="5"/>
    <n v="4855"/>
    <n v="534.23"/>
  </r>
  <r>
    <x v="700"/>
    <x v="3"/>
    <x v="2"/>
    <x v="2"/>
    <n v="2"/>
    <n v="2158"/>
    <n v="483.94"/>
  </r>
  <r>
    <x v="129"/>
    <x v="1"/>
    <x v="1"/>
    <x v="0"/>
    <n v="7"/>
    <n v="4550"/>
    <n v="1077.8"/>
  </r>
  <r>
    <x v="425"/>
    <x v="2"/>
    <x v="2"/>
    <x v="3"/>
    <n v="4"/>
    <n v="3592"/>
    <n v="249.54"/>
  </r>
  <r>
    <x v="768"/>
    <x v="2"/>
    <x v="2"/>
    <x v="2"/>
    <n v="8"/>
    <n v="3488"/>
    <n v="943.25"/>
  </r>
  <r>
    <x v="414"/>
    <x v="6"/>
    <x v="1"/>
    <x v="0"/>
    <n v="2"/>
    <n v="1214"/>
    <n v="163.80000000000001"/>
  </r>
  <r>
    <x v="769"/>
    <x v="1"/>
    <x v="1"/>
    <x v="3"/>
    <n v="9"/>
    <n v="7200"/>
    <n v="1469.23"/>
  </r>
  <r>
    <x v="650"/>
    <x v="9"/>
    <x v="2"/>
    <x v="1"/>
    <n v="8"/>
    <n v="1808"/>
    <n v="339.31"/>
  </r>
  <r>
    <x v="597"/>
    <x v="3"/>
    <x v="2"/>
    <x v="3"/>
    <n v="9"/>
    <n v="7083"/>
    <n v="560.88"/>
  </r>
  <r>
    <x v="230"/>
    <x v="6"/>
    <x v="1"/>
    <x v="1"/>
    <n v="4"/>
    <n v="1060"/>
    <n v="260.20999999999998"/>
  </r>
  <r>
    <x v="54"/>
    <x v="5"/>
    <x v="2"/>
    <x v="2"/>
    <n v="9"/>
    <n v="7182"/>
    <n v="461.61"/>
  </r>
  <r>
    <x v="517"/>
    <x v="7"/>
    <x v="2"/>
    <x v="3"/>
    <n v="6"/>
    <n v="5532"/>
    <n v="552.74"/>
  </r>
  <r>
    <x v="770"/>
    <x v="4"/>
    <x v="1"/>
    <x v="2"/>
    <n v="8"/>
    <n v="1800"/>
    <n v="326.02999999999997"/>
  </r>
  <r>
    <x v="232"/>
    <x v="4"/>
    <x v="1"/>
    <x v="2"/>
    <n v="1"/>
    <n v="351"/>
    <n v="32.61"/>
  </r>
  <r>
    <x v="771"/>
    <x v="5"/>
    <x v="2"/>
    <x v="3"/>
    <n v="2"/>
    <n v="1200"/>
    <n v="191.43"/>
  </r>
  <r>
    <x v="5"/>
    <x v="2"/>
    <x v="2"/>
    <x v="2"/>
    <n v="9"/>
    <n v="1593"/>
    <n v="322.45999999999998"/>
  </r>
  <r>
    <x v="701"/>
    <x v="6"/>
    <x v="1"/>
    <x v="1"/>
    <n v="3"/>
    <n v="2580"/>
    <n v="448.02"/>
  </r>
  <r>
    <x v="655"/>
    <x v="8"/>
    <x v="1"/>
    <x v="1"/>
    <n v="6"/>
    <n v="6780"/>
    <n v="1794.97"/>
  </r>
  <r>
    <x v="219"/>
    <x v="7"/>
    <x v="2"/>
    <x v="2"/>
    <n v="2"/>
    <n v="1298"/>
    <n v="204.08"/>
  </r>
  <r>
    <x v="413"/>
    <x v="5"/>
    <x v="2"/>
    <x v="2"/>
    <n v="7"/>
    <n v="4585"/>
    <n v="383.97"/>
  </r>
  <r>
    <x v="498"/>
    <x v="2"/>
    <x v="2"/>
    <x v="0"/>
    <n v="1"/>
    <n v="516"/>
    <n v="70.53"/>
  </r>
  <r>
    <x v="146"/>
    <x v="2"/>
    <x v="2"/>
    <x v="3"/>
    <n v="4"/>
    <n v="1780"/>
    <n v="420.28"/>
  </r>
  <r>
    <x v="256"/>
    <x v="8"/>
    <x v="1"/>
    <x v="0"/>
    <n v="5"/>
    <n v="365"/>
    <n v="94.05"/>
  </r>
  <r>
    <x v="140"/>
    <x v="2"/>
    <x v="2"/>
    <x v="2"/>
    <n v="8"/>
    <n v="3896"/>
    <n v="735.66"/>
  </r>
  <r>
    <x v="74"/>
    <x v="9"/>
    <x v="2"/>
    <x v="2"/>
    <n v="1"/>
    <n v="636"/>
    <n v="169.24"/>
  </r>
  <r>
    <x v="624"/>
    <x v="6"/>
    <x v="1"/>
    <x v="1"/>
    <n v="7"/>
    <n v="637"/>
    <n v="87.86"/>
  </r>
  <r>
    <x v="673"/>
    <x v="8"/>
    <x v="1"/>
    <x v="2"/>
    <n v="3"/>
    <n v="1302"/>
    <n v="180.82"/>
  </r>
  <r>
    <x v="715"/>
    <x v="7"/>
    <x v="2"/>
    <x v="3"/>
    <n v="1"/>
    <n v="719"/>
    <n v="40.42"/>
  </r>
  <r>
    <x v="259"/>
    <x v="3"/>
    <x v="2"/>
    <x v="3"/>
    <n v="6"/>
    <n v="5106"/>
    <n v="1341.93"/>
  </r>
  <r>
    <x v="398"/>
    <x v="1"/>
    <x v="1"/>
    <x v="3"/>
    <n v="3"/>
    <n v="1215"/>
    <n v="129.80000000000001"/>
  </r>
  <r>
    <x v="324"/>
    <x v="3"/>
    <x v="2"/>
    <x v="1"/>
    <n v="9"/>
    <n v="1791"/>
    <n v="187.28"/>
  </r>
  <r>
    <x v="338"/>
    <x v="0"/>
    <x v="0"/>
    <x v="1"/>
    <n v="9"/>
    <n v="6255"/>
    <n v="452.46"/>
  </r>
  <r>
    <x v="772"/>
    <x v="0"/>
    <x v="0"/>
    <x v="1"/>
    <n v="5"/>
    <n v="4165"/>
    <n v="1012.37"/>
  </r>
  <r>
    <x v="383"/>
    <x v="6"/>
    <x v="1"/>
    <x v="2"/>
    <n v="5"/>
    <n v="5990"/>
    <n v="1192.1099999999999"/>
  </r>
  <r>
    <x v="5"/>
    <x v="2"/>
    <x v="2"/>
    <x v="2"/>
    <n v="1"/>
    <n v="847"/>
    <n v="142.74"/>
  </r>
  <r>
    <x v="649"/>
    <x v="3"/>
    <x v="2"/>
    <x v="1"/>
    <n v="8"/>
    <n v="688"/>
    <n v="131.26"/>
  </r>
  <r>
    <x v="96"/>
    <x v="2"/>
    <x v="2"/>
    <x v="1"/>
    <n v="2"/>
    <n v="1188"/>
    <n v="286.38"/>
  </r>
  <r>
    <x v="500"/>
    <x v="3"/>
    <x v="2"/>
    <x v="0"/>
    <n v="7"/>
    <n v="3101"/>
    <n v="926.09"/>
  </r>
  <r>
    <x v="773"/>
    <x v="4"/>
    <x v="1"/>
    <x v="3"/>
    <n v="9"/>
    <n v="8703"/>
    <n v="1562.88"/>
  </r>
  <r>
    <x v="774"/>
    <x v="0"/>
    <x v="0"/>
    <x v="3"/>
    <n v="9"/>
    <n v="9324"/>
    <n v="2416.9299999999998"/>
  </r>
  <r>
    <x v="775"/>
    <x v="9"/>
    <x v="2"/>
    <x v="0"/>
    <n v="1"/>
    <n v="749"/>
    <n v="68.17"/>
  </r>
  <r>
    <x v="686"/>
    <x v="5"/>
    <x v="2"/>
    <x v="3"/>
    <n v="4"/>
    <n v="3224"/>
    <n v="871.53"/>
  </r>
  <r>
    <x v="487"/>
    <x v="6"/>
    <x v="1"/>
    <x v="2"/>
    <n v="3"/>
    <n v="459"/>
    <n v="40.96"/>
  </r>
  <r>
    <x v="413"/>
    <x v="5"/>
    <x v="2"/>
    <x v="1"/>
    <n v="7"/>
    <n v="5726"/>
    <n v="976.14"/>
  </r>
  <r>
    <x v="776"/>
    <x v="8"/>
    <x v="1"/>
    <x v="3"/>
    <n v="4"/>
    <n v="616"/>
    <n v="175.75"/>
  </r>
  <r>
    <x v="413"/>
    <x v="9"/>
    <x v="2"/>
    <x v="0"/>
    <n v="2"/>
    <n v="1584"/>
    <n v="406.25"/>
  </r>
  <r>
    <x v="96"/>
    <x v="9"/>
    <x v="2"/>
    <x v="1"/>
    <n v="5"/>
    <n v="3205"/>
    <n v="368.41"/>
  </r>
  <r>
    <x v="314"/>
    <x v="0"/>
    <x v="0"/>
    <x v="1"/>
    <n v="1"/>
    <n v="958"/>
    <n v="186.76"/>
  </r>
  <r>
    <x v="700"/>
    <x v="9"/>
    <x v="2"/>
    <x v="1"/>
    <n v="9"/>
    <n v="5139"/>
    <n v="1315.93"/>
  </r>
  <r>
    <x v="329"/>
    <x v="7"/>
    <x v="2"/>
    <x v="3"/>
    <n v="5"/>
    <n v="3795"/>
    <n v="239.15"/>
  </r>
  <r>
    <x v="293"/>
    <x v="3"/>
    <x v="2"/>
    <x v="1"/>
    <n v="2"/>
    <n v="810"/>
    <n v="229.33"/>
  </r>
  <r>
    <x v="239"/>
    <x v="3"/>
    <x v="2"/>
    <x v="2"/>
    <n v="6"/>
    <n v="5106"/>
    <n v="1500.2"/>
  </r>
  <r>
    <x v="561"/>
    <x v="6"/>
    <x v="1"/>
    <x v="3"/>
    <n v="2"/>
    <n v="798"/>
    <n v="79.25"/>
  </r>
  <r>
    <x v="752"/>
    <x v="9"/>
    <x v="2"/>
    <x v="3"/>
    <n v="5"/>
    <n v="3165"/>
    <n v="895.33"/>
  </r>
  <r>
    <x v="630"/>
    <x v="2"/>
    <x v="2"/>
    <x v="1"/>
    <n v="5"/>
    <n v="5935"/>
    <n v="875.84"/>
  </r>
  <r>
    <x v="777"/>
    <x v="8"/>
    <x v="1"/>
    <x v="2"/>
    <n v="4"/>
    <n v="3352"/>
    <n v="663.15"/>
  </r>
  <r>
    <x v="778"/>
    <x v="7"/>
    <x v="2"/>
    <x v="3"/>
    <n v="9"/>
    <n v="8343"/>
    <n v="821"/>
  </r>
  <r>
    <x v="779"/>
    <x v="6"/>
    <x v="1"/>
    <x v="1"/>
    <n v="4"/>
    <n v="2604"/>
    <n v="411.38"/>
  </r>
  <r>
    <x v="780"/>
    <x v="4"/>
    <x v="1"/>
    <x v="3"/>
    <n v="1"/>
    <n v="526"/>
    <n v="108.88"/>
  </r>
  <r>
    <x v="477"/>
    <x v="6"/>
    <x v="1"/>
    <x v="3"/>
    <n v="9"/>
    <n v="5220"/>
    <n v="1324.01"/>
  </r>
  <r>
    <x v="477"/>
    <x v="0"/>
    <x v="0"/>
    <x v="0"/>
    <n v="9"/>
    <n v="1737"/>
    <n v="152.97999999999999"/>
  </r>
  <r>
    <x v="781"/>
    <x v="1"/>
    <x v="1"/>
    <x v="3"/>
    <n v="6"/>
    <n v="3186"/>
    <n v="841.04"/>
  </r>
  <r>
    <x v="616"/>
    <x v="7"/>
    <x v="2"/>
    <x v="3"/>
    <n v="6"/>
    <n v="7014"/>
    <n v="1202.25"/>
  </r>
  <r>
    <x v="386"/>
    <x v="1"/>
    <x v="1"/>
    <x v="2"/>
    <n v="9"/>
    <n v="3411"/>
    <n v="444.87"/>
  </r>
  <r>
    <x v="761"/>
    <x v="6"/>
    <x v="1"/>
    <x v="1"/>
    <n v="1"/>
    <n v="513"/>
    <n v="87.58"/>
  </r>
  <r>
    <x v="782"/>
    <x v="7"/>
    <x v="2"/>
    <x v="3"/>
    <n v="1"/>
    <n v="1104"/>
    <n v="277.85000000000002"/>
  </r>
  <r>
    <x v="783"/>
    <x v="7"/>
    <x v="2"/>
    <x v="1"/>
    <n v="9"/>
    <n v="2718"/>
    <n v="271.51"/>
  </r>
  <r>
    <x v="654"/>
    <x v="4"/>
    <x v="1"/>
    <x v="0"/>
    <n v="6"/>
    <n v="1662"/>
    <n v="416.3"/>
  </r>
  <r>
    <x v="309"/>
    <x v="1"/>
    <x v="1"/>
    <x v="3"/>
    <n v="5"/>
    <n v="1700"/>
    <n v="360.59"/>
  </r>
  <r>
    <x v="486"/>
    <x v="2"/>
    <x v="2"/>
    <x v="2"/>
    <n v="4"/>
    <n v="2932"/>
    <n v="597.65"/>
  </r>
  <r>
    <x v="533"/>
    <x v="1"/>
    <x v="1"/>
    <x v="0"/>
    <n v="4"/>
    <n v="3604"/>
    <n v="971.14"/>
  </r>
  <r>
    <x v="38"/>
    <x v="3"/>
    <x v="2"/>
    <x v="3"/>
    <n v="4"/>
    <n v="4596"/>
    <n v="553.58000000000004"/>
  </r>
  <r>
    <x v="75"/>
    <x v="5"/>
    <x v="2"/>
    <x v="1"/>
    <n v="6"/>
    <n v="930"/>
    <n v="68.239999999999995"/>
  </r>
  <r>
    <x v="96"/>
    <x v="2"/>
    <x v="2"/>
    <x v="0"/>
    <n v="3"/>
    <n v="2790"/>
    <n v="470.93"/>
  </r>
  <r>
    <x v="371"/>
    <x v="7"/>
    <x v="2"/>
    <x v="0"/>
    <n v="6"/>
    <n v="4596"/>
    <n v="1162.75"/>
  </r>
  <r>
    <x v="499"/>
    <x v="8"/>
    <x v="1"/>
    <x v="2"/>
    <n v="1"/>
    <n v="962"/>
    <n v="260.27999999999997"/>
  </r>
  <r>
    <x v="784"/>
    <x v="7"/>
    <x v="2"/>
    <x v="0"/>
    <n v="1"/>
    <n v="92"/>
    <n v="14.88"/>
  </r>
  <r>
    <x v="158"/>
    <x v="8"/>
    <x v="1"/>
    <x v="0"/>
    <n v="5"/>
    <n v="1130"/>
    <n v="254.99"/>
  </r>
  <r>
    <x v="423"/>
    <x v="4"/>
    <x v="1"/>
    <x v="1"/>
    <n v="6"/>
    <n v="6024"/>
    <n v="1706.41"/>
  </r>
  <r>
    <x v="750"/>
    <x v="0"/>
    <x v="0"/>
    <x v="2"/>
    <n v="1"/>
    <n v="879"/>
    <n v="135"/>
  </r>
  <r>
    <x v="437"/>
    <x v="6"/>
    <x v="1"/>
    <x v="1"/>
    <n v="8"/>
    <n v="2384"/>
    <n v="444.98"/>
  </r>
  <r>
    <x v="366"/>
    <x v="3"/>
    <x v="2"/>
    <x v="2"/>
    <n v="4"/>
    <n v="4644"/>
    <n v="277.26"/>
  </r>
  <r>
    <x v="758"/>
    <x v="8"/>
    <x v="1"/>
    <x v="1"/>
    <n v="1"/>
    <n v="607"/>
    <n v="79.78"/>
  </r>
  <r>
    <x v="464"/>
    <x v="1"/>
    <x v="1"/>
    <x v="2"/>
    <n v="7"/>
    <n v="770"/>
    <n v="129.11000000000001"/>
  </r>
  <r>
    <x v="785"/>
    <x v="8"/>
    <x v="1"/>
    <x v="2"/>
    <n v="1"/>
    <n v="711"/>
    <n v="158.88999999999999"/>
  </r>
  <r>
    <x v="786"/>
    <x v="8"/>
    <x v="1"/>
    <x v="2"/>
    <n v="2"/>
    <n v="1088"/>
    <n v="235.83"/>
  </r>
  <r>
    <x v="20"/>
    <x v="9"/>
    <x v="2"/>
    <x v="1"/>
    <n v="7"/>
    <n v="4704"/>
    <n v="513.14"/>
  </r>
  <r>
    <x v="787"/>
    <x v="9"/>
    <x v="2"/>
    <x v="1"/>
    <n v="5"/>
    <n v="660"/>
    <n v="90.86"/>
  </r>
  <r>
    <x v="788"/>
    <x v="4"/>
    <x v="1"/>
    <x v="2"/>
    <n v="5"/>
    <n v="4680"/>
    <n v="516.26"/>
  </r>
  <r>
    <x v="789"/>
    <x v="3"/>
    <x v="2"/>
    <x v="1"/>
    <n v="7"/>
    <n v="6797"/>
    <n v="665.29"/>
  </r>
  <r>
    <x v="731"/>
    <x v="1"/>
    <x v="1"/>
    <x v="0"/>
    <n v="9"/>
    <n v="558"/>
    <n v="38.86"/>
  </r>
  <r>
    <x v="280"/>
    <x v="6"/>
    <x v="1"/>
    <x v="1"/>
    <n v="4"/>
    <n v="4496"/>
    <n v="1115.75"/>
  </r>
  <r>
    <x v="670"/>
    <x v="8"/>
    <x v="1"/>
    <x v="2"/>
    <n v="1"/>
    <n v="713"/>
    <n v="62.78"/>
  </r>
  <r>
    <x v="653"/>
    <x v="3"/>
    <x v="2"/>
    <x v="1"/>
    <n v="2"/>
    <n v="1310"/>
    <n v="212.43"/>
  </r>
  <r>
    <x v="502"/>
    <x v="8"/>
    <x v="1"/>
    <x v="3"/>
    <n v="9"/>
    <n v="2853"/>
    <n v="564.04999999999995"/>
  </r>
  <r>
    <x v="159"/>
    <x v="3"/>
    <x v="2"/>
    <x v="2"/>
    <n v="2"/>
    <n v="2324"/>
    <n v="516.05999999999995"/>
  </r>
  <r>
    <x v="397"/>
    <x v="9"/>
    <x v="2"/>
    <x v="0"/>
    <n v="1"/>
    <n v="330"/>
    <n v="53.42"/>
  </r>
  <r>
    <x v="247"/>
    <x v="3"/>
    <x v="2"/>
    <x v="2"/>
    <n v="3"/>
    <n v="588"/>
    <n v="100.52"/>
  </r>
  <r>
    <x v="517"/>
    <x v="7"/>
    <x v="2"/>
    <x v="1"/>
    <n v="1"/>
    <n v="63"/>
    <n v="11.91"/>
  </r>
  <r>
    <x v="532"/>
    <x v="2"/>
    <x v="2"/>
    <x v="1"/>
    <n v="7"/>
    <n v="847"/>
    <n v="147.71"/>
  </r>
  <r>
    <x v="168"/>
    <x v="0"/>
    <x v="0"/>
    <x v="1"/>
    <n v="1"/>
    <n v="1037"/>
    <n v="56.89"/>
  </r>
  <r>
    <x v="790"/>
    <x v="1"/>
    <x v="1"/>
    <x v="0"/>
    <n v="1"/>
    <n v="373"/>
    <n v="72.17"/>
  </r>
  <r>
    <x v="119"/>
    <x v="9"/>
    <x v="2"/>
    <x v="0"/>
    <n v="1"/>
    <n v="1176"/>
    <n v="157.47"/>
  </r>
  <r>
    <x v="182"/>
    <x v="7"/>
    <x v="2"/>
    <x v="1"/>
    <n v="3"/>
    <n v="2139"/>
    <n v="422.52"/>
  </r>
  <r>
    <x v="731"/>
    <x v="6"/>
    <x v="1"/>
    <x v="3"/>
    <n v="9"/>
    <n v="4140"/>
    <n v="301.12"/>
  </r>
  <r>
    <x v="791"/>
    <x v="9"/>
    <x v="2"/>
    <x v="0"/>
    <n v="1"/>
    <n v="1038"/>
    <n v="63.23"/>
  </r>
  <r>
    <x v="311"/>
    <x v="6"/>
    <x v="1"/>
    <x v="1"/>
    <n v="8"/>
    <n v="2024"/>
    <n v="203.11"/>
  </r>
  <r>
    <x v="102"/>
    <x v="5"/>
    <x v="2"/>
    <x v="2"/>
    <n v="6"/>
    <n v="6624"/>
    <n v="1136.0899999999999"/>
  </r>
  <r>
    <x v="276"/>
    <x v="5"/>
    <x v="2"/>
    <x v="1"/>
    <n v="7"/>
    <n v="5019"/>
    <n v="1154.79"/>
  </r>
  <r>
    <x v="404"/>
    <x v="7"/>
    <x v="2"/>
    <x v="1"/>
    <n v="5"/>
    <n v="750"/>
    <n v="207.77"/>
  </r>
  <r>
    <x v="580"/>
    <x v="3"/>
    <x v="2"/>
    <x v="0"/>
    <n v="7"/>
    <n v="6461"/>
    <n v="1455.36"/>
  </r>
  <r>
    <x v="609"/>
    <x v="2"/>
    <x v="2"/>
    <x v="3"/>
    <n v="6"/>
    <n v="2946"/>
    <n v="208.01"/>
  </r>
  <r>
    <x v="342"/>
    <x v="6"/>
    <x v="1"/>
    <x v="2"/>
    <n v="1"/>
    <n v="618"/>
    <n v="81.040000000000006"/>
  </r>
  <r>
    <x v="743"/>
    <x v="0"/>
    <x v="0"/>
    <x v="2"/>
    <n v="2"/>
    <n v="1774"/>
    <n v="322.49"/>
  </r>
  <r>
    <x v="2"/>
    <x v="3"/>
    <x v="2"/>
    <x v="1"/>
    <n v="9"/>
    <n v="8586"/>
    <n v="700.37"/>
  </r>
  <r>
    <x v="792"/>
    <x v="9"/>
    <x v="2"/>
    <x v="2"/>
    <n v="5"/>
    <n v="2000"/>
    <n v="232.41"/>
  </r>
  <r>
    <x v="390"/>
    <x v="1"/>
    <x v="1"/>
    <x v="1"/>
    <n v="1"/>
    <n v="849"/>
    <n v="205.88"/>
  </r>
  <r>
    <x v="162"/>
    <x v="1"/>
    <x v="1"/>
    <x v="1"/>
    <n v="6"/>
    <n v="3186"/>
    <n v="374.63"/>
  </r>
  <r>
    <x v="405"/>
    <x v="6"/>
    <x v="1"/>
    <x v="2"/>
    <n v="4"/>
    <n v="2536"/>
    <n v="495.13"/>
  </r>
  <r>
    <x v="321"/>
    <x v="5"/>
    <x v="2"/>
    <x v="2"/>
    <n v="2"/>
    <n v="1306"/>
    <n v="228.41"/>
  </r>
  <r>
    <x v="658"/>
    <x v="2"/>
    <x v="2"/>
    <x v="1"/>
    <n v="3"/>
    <n v="2508"/>
    <n v="631.85"/>
  </r>
  <r>
    <x v="164"/>
    <x v="2"/>
    <x v="2"/>
    <x v="0"/>
    <n v="8"/>
    <n v="1048"/>
    <n v="107.56"/>
  </r>
  <r>
    <x v="511"/>
    <x v="8"/>
    <x v="1"/>
    <x v="1"/>
    <n v="4"/>
    <n v="1516"/>
    <n v="256.95999999999998"/>
  </r>
  <r>
    <x v="117"/>
    <x v="7"/>
    <x v="2"/>
    <x v="3"/>
    <n v="9"/>
    <n v="10458"/>
    <n v="1835.21"/>
  </r>
  <r>
    <x v="229"/>
    <x v="4"/>
    <x v="1"/>
    <x v="1"/>
    <n v="9"/>
    <n v="2754"/>
    <n v="259.16000000000003"/>
  </r>
  <r>
    <x v="711"/>
    <x v="0"/>
    <x v="0"/>
    <x v="3"/>
    <n v="4"/>
    <n v="3432"/>
    <n v="364.27"/>
  </r>
  <r>
    <x v="793"/>
    <x v="6"/>
    <x v="1"/>
    <x v="2"/>
    <n v="2"/>
    <n v="1234"/>
    <n v="257.89"/>
  </r>
  <r>
    <x v="794"/>
    <x v="6"/>
    <x v="1"/>
    <x v="1"/>
    <n v="1"/>
    <n v="847"/>
    <n v="146.25"/>
  </r>
  <r>
    <x v="139"/>
    <x v="8"/>
    <x v="1"/>
    <x v="2"/>
    <n v="7"/>
    <n v="7672"/>
    <n v="896.11"/>
  </r>
  <r>
    <x v="758"/>
    <x v="6"/>
    <x v="1"/>
    <x v="0"/>
    <n v="9"/>
    <n v="7596"/>
    <n v="1454.15"/>
  </r>
  <r>
    <x v="795"/>
    <x v="8"/>
    <x v="1"/>
    <x v="1"/>
    <n v="7"/>
    <n v="7252"/>
    <n v="1357.27"/>
  </r>
  <r>
    <x v="227"/>
    <x v="5"/>
    <x v="2"/>
    <x v="3"/>
    <n v="6"/>
    <n v="732"/>
    <n v="136.59"/>
  </r>
  <r>
    <x v="128"/>
    <x v="7"/>
    <x v="2"/>
    <x v="3"/>
    <n v="1"/>
    <n v="173"/>
    <n v="20.96"/>
  </r>
  <r>
    <x v="26"/>
    <x v="3"/>
    <x v="2"/>
    <x v="0"/>
    <n v="3"/>
    <n v="2805"/>
    <n v="749.5"/>
  </r>
  <r>
    <x v="796"/>
    <x v="7"/>
    <x v="2"/>
    <x v="3"/>
    <n v="8"/>
    <n v="7048"/>
    <n v="391.96"/>
  </r>
  <r>
    <x v="797"/>
    <x v="1"/>
    <x v="1"/>
    <x v="1"/>
    <n v="6"/>
    <n v="4698"/>
    <n v="1020.11"/>
  </r>
  <r>
    <x v="607"/>
    <x v="5"/>
    <x v="2"/>
    <x v="2"/>
    <n v="1"/>
    <n v="565"/>
    <n v="148.79"/>
  </r>
  <r>
    <x v="427"/>
    <x v="6"/>
    <x v="1"/>
    <x v="0"/>
    <n v="1"/>
    <n v="672"/>
    <n v="198.75"/>
  </r>
  <r>
    <x v="798"/>
    <x v="3"/>
    <x v="2"/>
    <x v="2"/>
    <n v="6"/>
    <n v="2604"/>
    <n v="566.34"/>
  </r>
  <r>
    <x v="678"/>
    <x v="2"/>
    <x v="2"/>
    <x v="3"/>
    <n v="6"/>
    <n v="5124"/>
    <n v="501.5"/>
  </r>
  <r>
    <x v="201"/>
    <x v="5"/>
    <x v="2"/>
    <x v="3"/>
    <n v="5"/>
    <n v="2455"/>
    <n v="714.35"/>
  </r>
  <r>
    <x v="799"/>
    <x v="0"/>
    <x v="0"/>
    <x v="0"/>
    <n v="2"/>
    <n v="1796"/>
    <n v="225.15"/>
  </r>
  <r>
    <x v="676"/>
    <x v="9"/>
    <x v="2"/>
    <x v="2"/>
    <n v="1"/>
    <n v="288"/>
    <n v="61.85"/>
  </r>
  <r>
    <x v="476"/>
    <x v="9"/>
    <x v="2"/>
    <x v="0"/>
    <n v="5"/>
    <n v="2160"/>
    <n v="553.41"/>
  </r>
  <r>
    <x v="149"/>
    <x v="2"/>
    <x v="2"/>
    <x v="3"/>
    <n v="1"/>
    <n v="105"/>
    <n v="27.36"/>
  </r>
  <r>
    <x v="345"/>
    <x v="6"/>
    <x v="1"/>
    <x v="2"/>
    <n v="9"/>
    <n v="7578"/>
    <n v="1596.64"/>
  </r>
  <r>
    <x v="563"/>
    <x v="4"/>
    <x v="1"/>
    <x v="2"/>
    <n v="1"/>
    <n v="365"/>
    <n v="50.1"/>
  </r>
  <r>
    <x v="800"/>
    <x v="3"/>
    <x v="2"/>
    <x v="3"/>
    <n v="8"/>
    <n v="3752"/>
    <n v="537.98"/>
  </r>
  <r>
    <x v="200"/>
    <x v="8"/>
    <x v="1"/>
    <x v="0"/>
    <n v="2"/>
    <n v="1384"/>
    <n v="316.20999999999998"/>
  </r>
  <r>
    <x v="801"/>
    <x v="7"/>
    <x v="2"/>
    <x v="3"/>
    <n v="5"/>
    <n v="475"/>
    <n v="76.22"/>
  </r>
  <r>
    <x v="188"/>
    <x v="0"/>
    <x v="0"/>
    <x v="3"/>
    <n v="4"/>
    <n v="1116"/>
    <n v="242.31"/>
  </r>
  <r>
    <x v="354"/>
    <x v="7"/>
    <x v="2"/>
    <x v="3"/>
    <n v="1"/>
    <n v="137"/>
    <n v="39.35"/>
  </r>
  <r>
    <x v="187"/>
    <x v="4"/>
    <x v="1"/>
    <x v="2"/>
    <n v="6"/>
    <n v="738"/>
    <n v="158.96"/>
  </r>
  <r>
    <x v="6"/>
    <x v="3"/>
    <x v="2"/>
    <x v="3"/>
    <n v="3"/>
    <n v="1821"/>
    <n v="543.01"/>
  </r>
  <r>
    <x v="802"/>
    <x v="8"/>
    <x v="1"/>
    <x v="3"/>
    <n v="7"/>
    <n v="3654"/>
    <n v="670.16"/>
  </r>
  <r>
    <x v="340"/>
    <x v="8"/>
    <x v="1"/>
    <x v="1"/>
    <n v="6"/>
    <n v="2592"/>
    <n v="404.89"/>
  </r>
  <r>
    <x v="803"/>
    <x v="3"/>
    <x v="2"/>
    <x v="1"/>
    <n v="6"/>
    <n v="996"/>
    <n v="225.75"/>
  </r>
  <r>
    <x v="180"/>
    <x v="1"/>
    <x v="1"/>
    <x v="0"/>
    <n v="1"/>
    <n v="693"/>
    <n v="62.75"/>
  </r>
  <r>
    <x v="126"/>
    <x v="8"/>
    <x v="1"/>
    <x v="1"/>
    <n v="3"/>
    <n v="513"/>
    <n v="48.23"/>
  </r>
  <r>
    <x v="432"/>
    <x v="5"/>
    <x v="2"/>
    <x v="1"/>
    <n v="8"/>
    <n v="5736"/>
    <n v="937.62"/>
  </r>
  <r>
    <x v="98"/>
    <x v="1"/>
    <x v="1"/>
    <x v="1"/>
    <n v="2"/>
    <n v="1458"/>
    <n v="208.93"/>
  </r>
  <r>
    <x v="553"/>
    <x v="7"/>
    <x v="2"/>
    <x v="1"/>
    <n v="8"/>
    <n v="5496"/>
    <n v="1104.93"/>
  </r>
  <r>
    <x v="804"/>
    <x v="2"/>
    <x v="2"/>
    <x v="0"/>
    <n v="3"/>
    <n v="3183"/>
    <n v="358.87"/>
  </r>
  <r>
    <x v="346"/>
    <x v="4"/>
    <x v="1"/>
    <x v="1"/>
    <n v="6"/>
    <n v="3990"/>
    <n v="975.5"/>
  </r>
  <r>
    <x v="805"/>
    <x v="7"/>
    <x v="2"/>
    <x v="3"/>
    <n v="2"/>
    <n v="582"/>
    <n v="76.45"/>
  </r>
  <r>
    <x v="806"/>
    <x v="0"/>
    <x v="0"/>
    <x v="2"/>
    <n v="5"/>
    <n v="3340"/>
    <n v="845.53"/>
  </r>
  <r>
    <x v="614"/>
    <x v="6"/>
    <x v="1"/>
    <x v="3"/>
    <n v="1"/>
    <n v="890"/>
    <n v="59.1"/>
  </r>
  <r>
    <x v="807"/>
    <x v="0"/>
    <x v="0"/>
    <x v="1"/>
    <n v="6"/>
    <n v="4890"/>
    <n v="689.01"/>
  </r>
  <r>
    <x v="668"/>
    <x v="8"/>
    <x v="1"/>
    <x v="1"/>
    <n v="3"/>
    <n v="2625"/>
    <n v="349.61"/>
  </r>
  <r>
    <x v="415"/>
    <x v="5"/>
    <x v="2"/>
    <x v="0"/>
    <n v="4"/>
    <n v="1440"/>
    <n v="200.09"/>
  </r>
  <r>
    <x v="618"/>
    <x v="4"/>
    <x v="1"/>
    <x v="0"/>
    <n v="5"/>
    <n v="505"/>
    <n v="93.85"/>
  </r>
  <r>
    <x v="245"/>
    <x v="9"/>
    <x v="2"/>
    <x v="0"/>
    <n v="8"/>
    <n v="8192"/>
    <n v="1822.87"/>
  </r>
  <r>
    <x v="479"/>
    <x v="8"/>
    <x v="1"/>
    <x v="1"/>
    <n v="3"/>
    <n v="1920"/>
    <n v="144.30000000000001"/>
  </r>
  <r>
    <x v="264"/>
    <x v="5"/>
    <x v="2"/>
    <x v="3"/>
    <n v="8"/>
    <n v="8768"/>
    <n v="1065.8"/>
  </r>
  <r>
    <x v="808"/>
    <x v="1"/>
    <x v="1"/>
    <x v="0"/>
    <n v="1"/>
    <n v="1140"/>
    <n v="117.05"/>
  </r>
  <r>
    <x v="744"/>
    <x v="9"/>
    <x v="2"/>
    <x v="0"/>
    <n v="4"/>
    <n v="952"/>
    <n v="264.61"/>
  </r>
  <r>
    <x v="348"/>
    <x v="7"/>
    <x v="2"/>
    <x v="0"/>
    <n v="1"/>
    <n v="225"/>
    <n v="51.07"/>
  </r>
  <r>
    <x v="306"/>
    <x v="0"/>
    <x v="0"/>
    <x v="2"/>
    <n v="4"/>
    <n v="1304"/>
    <n v="336.95"/>
  </r>
  <r>
    <x v="22"/>
    <x v="3"/>
    <x v="2"/>
    <x v="1"/>
    <n v="3"/>
    <n v="1029"/>
    <n v="206.83"/>
  </r>
  <r>
    <x v="544"/>
    <x v="0"/>
    <x v="0"/>
    <x v="2"/>
    <n v="3"/>
    <n v="3402"/>
    <n v="442.67"/>
  </r>
  <r>
    <x v="82"/>
    <x v="9"/>
    <x v="2"/>
    <x v="0"/>
    <n v="9"/>
    <n v="8460"/>
    <n v="1201.94"/>
  </r>
  <r>
    <x v="588"/>
    <x v="6"/>
    <x v="1"/>
    <x v="0"/>
    <n v="1"/>
    <n v="104"/>
    <n v="26.86"/>
  </r>
  <r>
    <x v="700"/>
    <x v="6"/>
    <x v="1"/>
    <x v="3"/>
    <n v="9"/>
    <n v="10665"/>
    <n v="1595.08"/>
  </r>
  <r>
    <x v="212"/>
    <x v="5"/>
    <x v="2"/>
    <x v="1"/>
    <n v="8"/>
    <n v="984"/>
    <n v="183.07"/>
  </r>
  <r>
    <x v="314"/>
    <x v="7"/>
    <x v="2"/>
    <x v="0"/>
    <n v="4"/>
    <n v="2064"/>
    <n v="359.3"/>
  </r>
  <r>
    <x v="123"/>
    <x v="9"/>
    <x v="2"/>
    <x v="0"/>
    <n v="2"/>
    <n v="594"/>
    <n v="172.47"/>
  </r>
  <r>
    <x v="809"/>
    <x v="0"/>
    <x v="0"/>
    <x v="2"/>
    <n v="8"/>
    <n v="6016"/>
    <n v="898.33"/>
  </r>
  <r>
    <x v="589"/>
    <x v="7"/>
    <x v="2"/>
    <x v="0"/>
    <n v="8"/>
    <n v="2864"/>
    <n v="195.16"/>
  </r>
  <r>
    <x v="426"/>
    <x v="2"/>
    <x v="2"/>
    <x v="0"/>
    <n v="4"/>
    <n v="724"/>
    <n v="186.95"/>
  </r>
  <r>
    <x v="490"/>
    <x v="1"/>
    <x v="1"/>
    <x v="1"/>
    <n v="6"/>
    <n v="4098"/>
    <n v="1174.46"/>
  </r>
  <r>
    <x v="810"/>
    <x v="6"/>
    <x v="1"/>
    <x v="0"/>
    <n v="1"/>
    <n v="338"/>
    <n v="32.61"/>
  </r>
  <r>
    <x v="811"/>
    <x v="0"/>
    <x v="0"/>
    <x v="3"/>
    <n v="8"/>
    <n v="9280"/>
    <n v="1596.88"/>
  </r>
  <r>
    <x v="812"/>
    <x v="5"/>
    <x v="2"/>
    <x v="1"/>
    <n v="1"/>
    <n v="890"/>
    <n v="57.04"/>
  </r>
  <r>
    <x v="621"/>
    <x v="2"/>
    <x v="2"/>
    <x v="2"/>
    <n v="2"/>
    <n v="1790"/>
    <n v="442.75"/>
  </r>
  <r>
    <x v="487"/>
    <x v="2"/>
    <x v="2"/>
    <x v="0"/>
    <n v="9"/>
    <n v="8523"/>
    <n v="978.97"/>
  </r>
  <r>
    <x v="801"/>
    <x v="4"/>
    <x v="1"/>
    <x v="3"/>
    <n v="9"/>
    <n v="7776"/>
    <n v="677.74"/>
  </r>
  <r>
    <x v="541"/>
    <x v="1"/>
    <x v="1"/>
    <x v="0"/>
    <n v="7"/>
    <n v="3031"/>
    <n v="417.5"/>
  </r>
  <r>
    <x v="186"/>
    <x v="3"/>
    <x v="2"/>
    <x v="2"/>
    <n v="9"/>
    <n v="4698"/>
    <n v="1262.47"/>
  </r>
  <r>
    <x v="347"/>
    <x v="8"/>
    <x v="1"/>
    <x v="3"/>
    <n v="9"/>
    <n v="4851"/>
    <n v="1408.41"/>
  </r>
  <r>
    <x v="357"/>
    <x v="3"/>
    <x v="2"/>
    <x v="1"/>
    <n v="6"/>
    <n v="4542"/>
    <n v="1169.1600000000001"/>
  </r>
  <r>
    <x v="813"/>
    <x v="4"/>
    <x v="1"/>
    <x v="0"/>
    <n v="2"/>
    <n v="978"/>
    <n v="210.75"/>
  </r>
  <r>
    <x v="814"/>
    <x v="1"/>
    <x v="1"/>
    <x v="2"/>
    <n v="9"/>
    <n v="9378"/>
    <n v="1740.97"/>
  </r>
  <r>
    <x v="665"/>
    <x v="5"/>
    <x v="2"/>
    <x v="0"/>
    <n v="8"/>
    <n v="9464"/>
    <n v="2043.73"/>
  </r>
  <r>
    <x v="447"/>
    <x v="0"/>
    <x v="0"/>
    <x v="3"/>
    <n v="8"/>
    <n v="1720"/>
    <n v="401.26"/>
  </r>
  <r>
    <x v="568"/>
    <x v="8"/>
    <x v="1"/>
    <x v="3"/>
    <n v="8"/>
    <n v="4752"/>
    <n v="1124.22"/>
  </r>
  <r>
    <x v="320"/>
    <x v="8"/>
    <x v="1"/>
    <x v="2"/>
    <n v="4"/>
    <n v="584"/>
    <n v="127.28"/>
  </r>
  <r>
    <x v="311"/>
    <x v="3"/>
    <x v="2"/>
    <x v="0"/>
    <n v="9"/>
    <n v="4554"/>
    <n v="1031.0899999999999"/>
  </r>
  <r>
    <x v="692"/>
    <x v="2"/>
    <x v="2"/>
    <x v="2"/>
    <n v="2"/>
    <n v="2392"/>
    <n v="483.39"/>
  </r>
  <r>
    <x v="159"/>
    <x v="3"/>
    <x v="2"/>
    <x v="2"/>
    <n v="7"/>
    <n v="3962"/>
    <n v="916.13"/>
  </r>
  <r>
    <x v="722"/>
    <x v="9"/>
    <x v="2"/>
    <x v="0"/>
    <n v="3"/>
    <n v="1308"/>
    <n v="141.04"/>
  </r>
  <r>
    <x v="124"/>
    <x v="0"/>
    <x v="0"/>
    <x v="2"/>
    <n v="8"/>
    <n v="5912"/>
    <n v="1153.18"/>
  </r>
  <r>
    <x v="253"/>
    <x v="3"/>
    <x v="2"/>
    <x v="2"/>
    <n v="7"/>
    <n v="5831"/>
    <n v="1416.31"/>
  </r>
  <r>
    <x v="815"/>
    <x v="3"/>
    <x v="2"/>
    <x v="3"/>
    <n v="7"/>
    <n v="5572"/>
    <n v="690.68"/>
  </r>
  <r>
    <x v="138"/>
    <x v="6"/>
    <x v="1"/>
    <x v="0"/>
    <n v="6"/>
    <n v="5214"/>
    <n v="1093.04"/>
  </r>
  <r>
    <x v="316"/>
    <x v="1"/>
    <x v="1"/>
    <x v="1"/>
    <n v="9"/>
    <n v="6705"/>
    <n v="1283.78"/>
  </r>
  <r>
    <x v="438"/>
    <x v="4"/>
    <x v="1"/>
    <x v="0"/>
    <n v="1"/>
    <n v="426"/>
    <n v="93.83"/>
  </r>
  <r>
    <x v="177"/>
    <x v="7"/>
    <x v="2"/>
    <x v="3"/>
    <n v="2"/>
    <n v="2204"/>
    <n v="523.82000000000005"/>
  </r>
  <r>
    <x v="286"/>
    <x v="7"/>
    <x v="2"/>
    <x v="0"/>
    <n v="3"/>
    <n v="2652"/>
    <n v="161.66999999999999"/>
  </r>
  <r>
    <x v="459"/>
    <x v="0"/>
    <x v="0"/>
    <x v="2"/>
    <n v="6"/>
    <n v="3132"/>
    <n v="919.52"/>
  </r>
  <r>
    <x v="712"/>
    <x v="0"/>
    <x v="0"/>
    <x v="3"/>
    <n v="5"/>
    <n v="1830"/>
    <n v="437.35"/>
  </r>
  <r>
    <x v="739"/>
    <x v="9"/>
    <x v="2"/>
    <x v="1"/>
    <n v="9"/>
    <n v="2763"/>
    <n v="676.25"/>
  </r>
  <r>
    <x v="816"/>
    <x v="6"/>
    <x v="1"/>
    <x v="0"/>
    <n v="8"/>
    <n v="9056"/>
    <n v="2281.9699999999998"/>
  </r>
  <r>
    <x v="149"/>
    <x v="3"/>
    <x v="2"/>
    <x v="0"/>
    <n v="7"/>
    <n v="5439"/>
    <n v="1416.62"/>
  </r>
  <r>
    <x v="306"/>
    <x v="3"/>
    <x v="2"/>
    <x v="2"/>
    <n v="6"/>
    <n v="828"/>
    <n v="47.91"/>
  </r>
  <r>
    <x v="244"/>
    <x v="5"/>
    <x v="2"/>
    <x v="1"/>
    <n v="5"/>
    <n v="1910"/>
    <n v="463.07"/>
  </r>
  <r>
    <x v="817"/>
    <x v="2"/>
    <x v="2"/>
    <x v="0"/>
    <n v="2"/>
    <n v="1874"/>
    <n v="333.86"/>
  </r>
  <r>
    <x v="786"/>
    <x v="1"/>
    <x v="1"/>
    <x v="1"/>
    <n v="1"/>
    <n v="1032"/>
    <n v="291.41000000000003"/>
  </r>
  <r>
    <x v="334"/>
    <x v="8"/>
    <x v="1"/>
    <x v="1"/>
    <n v="3"/>
    <n v="3264"/>
    <n v="556.86"/>
  </r>
  <r>
    <x v="818"/>
    <x v="7"/>
    <x v="2"/>
    <x v="3"/>
    <n v="1"/>
    <n v="877"/>
    <n v="110.99"/>
  </r>
  <r>
    <x v="369"/>
    <x v="3"/>
    <x v="2"/>
    <x v="0"/>
    <n v="3"/>
    <n v="924"/>
    <n v="183.18"/>
  </r>
  <r>
    <x v="621"/>
    <x v="3"/>
    <x v="2"/>
    <x v="3"/>
    <n v="3"/>
    <n v="417"/>
    <n v="114.42"/>
  </r>
  <r>
    <x v="819"/>
    <x v="9"/>
    <x v="2"/>
    <x v="3"/>
    <n v="5"/>
    <n v="2670"/>
    <n v="155.88999999999999"/>
  </r>
  <r>
    <x v="113"/>
    <x v="8"/>
    <x v="1"/>
    <x v="2"/>
    <n v="7"/>
    <n v="2716"/>
    <n v="512.09"/>
  </r>
  <r>
    <x v="698"/>
    <x v="4"/>
    <x v="1"/>
    <x v="3"/>
    <n v="9"/>
    <n v="10134"/>
    <n v="1334.37"/>
  </r>
  <r>
    <x v="260"/>
    <x v="6"/>
    <x v="1"/>
    <x v="0"/>
    <n v="5"/>
    <n v="5500"/>
    <n v="1230.98"/>
  </r>
  <r>
    <x v="820"/>
    <x v="2"/>
    <x v="2"/>
    <x v="1"/>
    <n v="6"/>
    <n v="6228"/>
    <n v="1756.82"/>
  </r>
  <r>
    <x v="821"/>
    <x v="9"/>
    <x v="2"/>
    <x v="3"/>
    <n v="7"/>
    <n v="1092"/>
    <n v="274.77"/>
  </r>
  <r>
    <x v="96"/>
    <x v="6"/>
    <x v="1"/>
    <x v="3"/>
    <n v="5"/>
    <n v="3255"/>
    <n v="332.54"/>
  </r>
  <r>
    <x v="620"/>
    <x v="2"/>
    <x v="2"/>
    <x v="3"/>
    <n v="5"/>
    <n v="5645"/>
    <n v="1320.86"/>
  </r>
  <r>
    <x v="541"/>
    <x v="7"/>
    <x v="2"/>
    <x v="0"/>
    <n v="9"/>
    <n v="7578"/>
    <n v="466.87"/>
  </r>
  <r>
    <x v="364"/>
    <x v="8"/>
    <x v="1"/>
    <x v="2"/>
    <n v="9"/>
    <n v="6282"/>
    <n v="1594.61"/>
  </r>
  <r>
    <x v="343"/>
    <x v="9"/>
    <x v="2"/>
    <x v="2"/>
    <n v="6"/>
    <n v="2364"/>
    <n v="639.29"/>
  </r>
  <r>
    <x v="706"/>
    <x v="8"/>
    <x v="1"/>
    <x v="0"/>
    <n v="8"/>
    <n v="6880"/>
    <n v="1570.91"/>
  </r>
  <r>
    <x v="822"/>
    <x v="7"/>
    <x v="2"/>
    <x v="1"/>
    <n v="6"/>
    <n v="3288"/>
    <n v="249.02"/>
  </r>
  <r>
    <x v="69"/>
    <x v="6"/>
    <x v="1"/>
    <x v="1"/>
    <n v="6"/>
    <n v="5292"/>
    <n v="659.58"/>
  </r>
  <r>
    <x v="577"/>
    <x v="0"/>
    <x v="0"/>
    <x v="0"/>
    <n v="3"/>
    <n v="3522"/>
    <n v="883.41"/>
  </r>
  <r>
    <x v="727"/>
    <x v="5"/>
    <x v="2"/>
    <x v="3"/>
    <n v="2"/>
    <n v="1518"/>
    <n v="87.6"/>
  </r>
  <r>
    <x v="427"/>
    <x v="2"/>
    <x v="2"/>
    <x v="0"/>
    <n v="7"/>
    <n v="2457"/>
    <n v="690.55"/>
  </r>
  <r>
    <x v="77"/>
    <x v="4"/>
    <x v="1"/>
    <x v="3"/>
    <n v="1"/>
    <n v="309"/>
    <n v="62.08"/>
  </r>
  <r>
    <x v="823"/>
    <x v="6"/>
    <x v="1"/>
    <x v="0"/>
    <n v="6"/>
    <n v="6192"/>
    <n v="717.46"/>
  </r>
  <r>
    <x v="824"/>
    <x v="3"/>
    <x v="2"/>
    <x v="1"/>
    <n v="5"/>
    <n v="4235"/>
    <n v="747.96"/>
  </r>
  <r>
    <x v="581"/>
    <x v="5"/>
    <x v="2"/>
    <x v="0"/>
    <n v="9"/>
    <n v="7128"/>
    <n v="457.11"/>
  </r>
  <r>
    <x v="825"/>
    <x v="2"/>
    <x v="2"/>
    <x v="0"/>
    <n v="5"/>
    <n v="5660"/>
    <n v="641.69000000000005"/>
  </r>
  <r>
    <x v="324"/>
    <x v="7"/>
    <x v="2"/>
    <x v="2"/>
    <n v="1"/>
    <n v="787"/>
    <n v="120.38"/>
  </r>
  <r>
    <x v="514"/>
    <x v="1"/>
    <x v="1"/>
    <x v="3"/>
    <n v="3"/>
    <n v="375"/>
    <n v="107.26"/>
  </r>
  <r>
    <x v="372"/>
    <x v="3"/>
    <x v="2"/>
    <x v="2"/>
    <n v="4"/>
    <n v="296"/>
    <n v="44.79"/>
  </r>
  <r>
    <x v="105"/>
    <x v="8"/>
    <x v="1"/>
    <x v="1"/>
    <n v="6"/>
    <n v="6372"/>
    <n v="570.75"/>
  </r>
  <r>
    <x v="821"/>
    <x v="1"/>
    <x v="1"/>
    <x v="3"/>
    <n v="6"/>
    <n v="2214"/>
    <n v="322.73"/>
  </r>
  <r>
    <x v="389"/>
    <x v="4"/>
    <x v="1"/>
    <x v="2"/>
    <n v="6"/>
    <n v="2640"/>
    <n v="734.44"/>
  </r>
  <r>
    <x v="826"/>
    <x v="3"/>
    <x v="2"/>
    <x v="2"/>
    <n v="7"/>
    <n v="2240"/>
    <n v="580.47"/>
  </r>
  <r>
    <x v="441"/>
    <x v="5"/>
    <x v="2"/>
    <x v="1"/>
    <n v="7"/>
    <n v="6258"/>
    <n v="1347.74"/>
  </r>
  <r>
    <x v="240"/>
    <x v="0"/>
    <x v="0"/>
    <x v="3"/>
    <n v="8"/>
    <n v="3816"/>
    <n v="574.57000000000005"/>
  </r>
  <r>
    <x v="16"/>
    <x v="5"/>
    <x v="2"/>
    <x v="2"/>
    <n v="2"/>
    <n v="390"/>
    <n v="115.48"/>
  </r>
  <r>
    <x v="827"/>
    <x v="2"/>
    <x v="2"/>
    <x v="2"/>
    <n v="7"/>
    <n v="630"/>
    <n v="83.28"/>
  </r>
  <r>
    <x v="156"/>
    <x v="7"/>
    <x v="2"/>
    <x v="2"/>
    <n v="4"/>
    <n v="3868"/>
    <n v="819.26"/>
  </r>
  <r>
    <x v="128"/>
    <x v="6"/>
    <x v="1"/>
    <x v="0"/>
    <n v="1"/>
    <n v="777"/>
    <n v="211.31"/>
  </r>
  <r>
    <x v="828"/>
    <x v="6"/>
    <x v="1"/>
    <x v="0"/>
    <n v="3"/>
    <n v="1347"/>
    <n v="196.59"/>
  </r>
  <r>
    <x v="97"/>
    <x v="9"/>
    <x v="2"/>
    <x v="1"/>
    <n v="9"/>
    <n v="7272"/>
    <n v="500.32"/>
  </r>
  <r>
    <x v="505"/>
    <x v="0"/>
    <x v="0"/>
    <x v="0"/>
    <n v="6"/>
    <n v="5724"/>
    <n v="857.33"/>
  </r>
  <r>
    <x v="829"/>
    <x v="4"/>
    <x v="1"/>
    <x v="3"/>
    <n v="3"/>
    <n v="312"/>
    <n v="74.8"/>
  </r>
  <r>
    <x v="698"/>
    <x v="9"/>
    <x v="2"/>
    <x v="1"/>
    <n v="3"/>
    <n v="1947"/>
    <n v="239.63"/>
  </r>
  <r>
    <x v="6"/>
    <x v="2"/>
    <x v="2"/>
    <x v="0"/>
    <n v="6"/>
    <n v="1128"/>
    <n v="207.97"/>
  </r>
  <r>
    <x v="617"/>
    <x v="9"/>
    <x v="2"/>
    <x v="1"/>
    <n v="9"/>
    <n v="4158"/>
    <n v="672.32"/>
  </r>
  <r>
    <x v="562"/>
    <x v="8"/>
    <x v="1"/>
    <x v="1"/>
    <n v="6"/>
    <n v="2670"/>
    <n v="782.28"/>
  </r>
  <r>
    <x v="678"/>
    <x v="4"/>
    <x v="1"/>
    <x v="1"/>
    <n v="1"/>
    <n v="85"/>
    <n v="17.71"/>
  </r>
  <r>
    <x v="103"/>
    <x v="1"/>
    <x v="1"/>
    <x v="1"/>
    <n v="8"/>
    <n v="4136"/>
    <n v="1056.54"/>
  </r>
  <r>
    <x v="829"/>
    <x v="2"/>
    <x v="2"/>
    <x v="0"/>
    <n v="6"/>
    <n v="4332"/>
    <n v="348.61"/>
  </r>
  <r>
    <x v="827"/>
    <x v="6"/>
    <x v="1"/>
    <x v="0"/>
    <n v="8"/>
    <n v="1600"/>
    <n v="305.3"/>
  </r>
  <r>
    <x v="780"/>
    <x v="2"/>
    <x v="2"/>
    <x v="1"/>
    <n v="7"/>
    <n v="5075"/>
    <n v="471.21"/>
  </r>
  <r>
    <x v="830"/>
    <x v="2"/>
    <x v="2"/>
    <x v="2"/>
    <n v="6"/>
    <n v="4152"/>
    <n v="1065.46"/>
  </r>
  <r>
    <x v="728"/>
    <x v="0"/>
    <x v="0"/>
    <x v="1"/>
    <n v="7"/>
    <n v="5635"/>
    <n v="1665.01"/>
  </r>
  <r>
    <x v="615"/>
    <x v="5"/>
    <x v="2"/>
    <x v="1"/>
    <n v="3"/>
    <n v="3108"/>
    <n v="220.97"/>
  </r>
  <r>
    <x v="781"/>
    <x v="5"/>
    <x v="2"/>
    <x v="2"/>
    <n v="7"/>
    <n v="4270"/>
    <n v="1197.44"/>
  </r>
  <r>
    <x v="831"/>
    <x v="6"/>
    <x v="1"/>
    <x v="3"/>
    <n v="5"/>
    <n v="1350"/>
    <n v="321.89999999999998"/>
  </r>
  <r>
    <x v="588"/>
    <x v="8"/>
    <x v="1"/>
    <x v="1"/>
    <n v="3"/>
    <n v="330"/>
    <n v="81.86"/>
  </r>
  <r>
    <x v="679"/>
    <x v="3"/>
    <x v="2"/>
    <x v="2"/>
    <n v="6"/>
    <n v="4260"/>
    <n v="504.82"/>
  </r>
  <r>
    <x v="462"/>
    <x v="4"/>
    <x v="1"/>
    <x v="0"/>
    <n v="3"/>
    <n v="2712"/>
    <n v="751.52"/>
  </r>
  <r>
    <x v="38"/>
    <x v="7"/>
    <x v="2"/>
    <x v="3"/>
    <n v="1"/>
    <n v="328"/>
    <n v="46.23"/>
  </r>
  <r>
    <x v="162"/>
    <x v="7"/>
    <x v="2"/>
    <x v="3"/>
    <n v="8"/>
    <n v="7776"/>
    <n v="498.6"/>
  </r>
  <r>
    <x v="176"/>
    <x v="9"/>
    <x v="2"/>
    <x v="1"/>
    <n v="4"/>
    <n v="2896"/>
    <n v="522.82000000000005"/>
  </r>
  <r>
    <x v="344"/>
    <x v="2"/>
    <x v="2"/>
    <x v="0"/>
    <n v="2"/>
    <n v="1902"/>
    <n v="388.83"/>
  </r>
  <r>
    <x v="196"/>
    <x v="5"/>
    <x v="2"/>
    <x v="0"/>
    <n v="7"/>
    <n v="3255"/>
    <n v="814.85"/>
  </r>
  <r>
    <x v="520"/>
    <x v="8"/>
    <x v="1"/>
    <x v="0"/>
    <n v="3"/>
    <n v="633"/>
    <n v="162.4"/>
  </r>
  <r>
    <x v="832"/>
    <x v="2"/>
    <x v="2"/>
    <x v="1"/>
    <n v="7"/>
    <n v="6209"/>
    <n v="402.78"/>
  </r>
  <r>
    <x v="175"/>
    <x v="5"/>
    <x v="2"/>
    <x v="1"/>
    <n v="9"/>
    <n v="4698"/>
    <n v="1167.9000000000001"/>
  </r>
  <r>
    <x v="325"/>
    <x v="7"/>
    <x v="2"/>
    <x v="3"/>
    <n v="8"/>
    <n v="7424"/>
    <n v="1878.07"/>
  </r>
  <r>
    <x v="833"/>
    <x v="0"/>
    <x v="0"/>
    <x v="1"/>
    <n v="1"/>
    <n v="498"/>
    <n v="58.3"/>
  </r>
  <r>
    <x v="614"/>
    <x v="4"/>
    <x v="1"/>
    <x v="1"/>
    <n v="1"/>
    <n v="111"/>
    <n v="27.91"/>
  </r>
  <r>
    <x v="641"/>
    <x v="9"/>
    <x v="2"/>
    <x v="0"/>
    <n v="8"/>
    <n v="7520"/>
    <n v="1201.4000000000001"/>
  </r>
  <r>
    <x v="70"/>
    <x v="3"/>
    <x v="2"/>
    <x v="2"/>
    <n v="1"/>
    <n v="182"/>
    <n v="30.97"/>
  </r>
  <r>
    <x v="337"/>
    <x v="1"/>
    <x v="1"/>
    <x v="3"/>
    <n v="5"/>
    <n v="5890"/>
    <n v="309"/>
  </r>
  <r>
    <x v="426"/>
    <x v="9"/>
    <x v="2"/>
    <x v="2"/>
    <n v="4"/>
    <n v="3244"/>
    <n v="357.55"/>
  </r>
  <r>
    <x v="395"/>
    <x v="7"/>
    <x v="2"/>
    <x v="2"/>
    <n v="7"/>
    <n v="5229"/>
    <n v="1058.26"/>
  </r>
  <r>
    <x v="834"/>
    <x v="5"/>
    <x v="2"/>
    <x v="0"/>
    <n v="9"/>
    <n v="5202"/>
    <n v="1271.47"/>
  </r>
  <r>
    <x v="532"/>
    <x v="8"/>
    <x v="1"/>
    <x v="3"/>
    <n v="3"/>
    <n v="438"/>
    <n v="67.430000000000007"/>
  </r>
  <r>
    <x v="835"/>
    <x v="8"/>
    <x v="1"/>
    <x v="1"/>
    <n v="6"/>
    <n v="6900"/>
    <n v="1109.73"/>
  </r>
  <r>
    <x v="37"/>
    <x v="2"/>
    <x v="2"/>
    <x v="1"/>
    <n v="3"/>
    <n v="369"/>
    <n v="36.07"/>
  </r>
  <r>
    <x v="607"/>
    <x v="9"/>
    <x v="2"/>
    <x v="3"/>
    <n v="4"/>
    <n v="4140"/>
    <n v="1229.8499999999999"/>
  </r>
  <r>
    <x v="631"/>
    <x v="0"/>
    <x v="0"/>
    <x v="2"/>
    <n v="3"/>
    <n v="1086"/>
    <n v="188.65"/>
  </r>
  <r>
    <x v="267"/>
    <x v="1"/>
    <x v="1"/>
    <x v="2"/>
    <n v="2"/>
    <n v="2134"/>
    <n v="269.52999999999997"/>
  </r>
  <r>
    <x v="467"/>
    <x v="9"/>
    <x v="2"/>
    <x v="0"/>
    <n v="6"/>
    <n v="5310"/>
    <n v="637.80999999999995"/>
  </r>
  <r>
    <x v="500"/>
    <x v="4"/>
    <x v="1"/>
    <x v="1"/>
    <n v="6"/>
    <n v="2748"/>
    <n v="682.8"/>
  </r>
  <r>
    <x v="314"/>
    <x v="0"/>
    <x v="0"/>
    <x v="2"/>
    <n v="9"/>
    <n v="3357"/>
    <n v="405.61"/>
  </r>
  <r>
    <x v="438"/>
    <x v="5"/>
    <x v="2"/>
    <x v="3"/>
    <n v="9"/>
    <n v="10206"/>
    <n v="592.77"/>
  </r>
  <r>
    <x v="836"/>
    <x v="7"/>
    <x v="2"/>
    <x v="2"/>
    <n v="6"/>
    <n v="2970"/>
    <n v="425.9"/>
  </r>
  <r>
    <x v="531"/>
    <x v="1"/>
    <x v="1"/>
    <x v="3"/>
    <n v="4"/>
    <n v="1208"/>
    <n v="351.47"/>
  </r>
  <r>
    <x v="534"/>
    <x v="5"/>
    <x v="2"/>
    <x v="2"/>
    <n v="3"/>
    <n v="945"/>
    <n v="135.59"/>
  </r>
  <r>
    <x v="837"/>
    <x v="6"/>
    <x v="1"/>
    <x v="1"/>
    <n v="8"/>
    <n v="7040"/>
    <n v="996.02"/>
  </r>
  <r>
    <x v="424"/>
    <x v="7"/>
    <x v="2"/>
    <x v="3"/>
    <n v="4"/>
    <n v="3684"/>
    <n v="1009.1"/>
  </r>
  <r>
    <x v="838"/>
    <x v="4"/>
    <x v="1"/>
    <x v="1"/>
    <n v="2"/>
    <n v="1262"/>
    <n v="190.02"/>
  </r>
  <r>
    <x v="839"/>
    <x v="1"/>
    <x v="1"/>
    <x v="2"/>
    <n v="3"/>
    <n v="3504"/>
    <n v="807.65"/>
  </r>
  <r>
    <x v="787"/>
    <x v="0"/>
    <x v="0"/>
    <x v="1"/>
    <n v="6"/>
    <n v="4464"/>
    <n v="1122.3699999999999"/>
  </r>
  <r>
    <x v="491"/>
    <x v="9"/>
    <x v="2"/>
    <x v="1"/>
    <n v="4"/>
    <n v="1324"/>
    <n v="227.2"/>
  </r>
  <r>
    <x v="466"/>
    <x v="3"/>
    <x v="2"/>
    <x v="1"/>
    <n v="6"/>
    <n v="4140"/>
    <n v="451.27"/>
  </r>
  <r>
    <x v="840"/>
    <x v="1"/>
    <x v="1"/>
    <x v="3"/>
    <n v="8"/>
    <n v="2384"/>
    <n v="120.28"/>
  </r>
  <r>
    <x v="658"/>
    <x v="9"/>
    <x v="2"/>
    <x v="3"/>
    <n v="8"/>
    <n v="4624"/>
    <n v="1313.36"/>
  </r>
  <r>
    <x v="841"/>
    <x v="5"/>
    <x v="2"/>
    <x v="3"/>
    <n v="6"/>
    <n v="4812"/>
    <n v="662.54"/>
  </r>
  <r>
    <x v="842"/>
    <x v="2"/>
    <x v="2"/>
    <x v="0"/>
    <n v="6"/>
    <n v="5640"/>
    <n v="856.44"/>
  </r>
  <r>
    <x v="482"/>
    <x v="5"/>
    <x v="2"/>
    <x v="3"/>
    <n v="5"/>
    <n v="1840"/>
    <n v="307.08999999999997"/>
  </r>
  <r>
    <x v="252"/>
    <x v="8"/>
    <x v="1"/>
    <x v="0"/>
    <n v="7"/>
    <n v="8071"/>
    <n v="435.51"/>
  </r>
  <r>
    <x v="757"/>
    <x v="8"/>
    <x v="1"/>
    <x v="0"/>
    <n v="3"/>
    <n v="2400"/>
    <n v="297.07"/>
  </r>
  <r>
    <x v="336"/>
    <x v="5"/>
    <x v="2"/>
    <x v="1"/>
    <n v="6"/>
    <n v="3570"/>
    <n v="265.62"/>
  </r>
  <r>
    <x v="743"/>
    <x v="9"/>
    <x v="2"/>
    <x v="1"/>
    <n v="3"/>
    <n v="1758"/>
    <n v="245.92"/>
  </r>
  <r>
    <x v="665"/>
    <x v="6"/>
    <x v="1"/>
    <x v="0"/>
    <n v="4"/>
    <n v="3072"/>
    <n v="394.2"/>
  </r>
  <r>
    <x v="173"/>
    <x v="1"/>
    <x v="1"/>
    <x v="2"/>
    <n v="5"/>
    <n v="2185"/>
    <n v="136.1"/>
  </r>
  <r>
    <x v="268"/>
    <x v="7"/>
    <x v="2"/>
    <x v="0"/>
    <n v="8"/>
    <n v="7664"/>
    <n v="1251.6500000000001"/>
  </r>
  <r>
    <x v="732"/>
    <x v="4"/>
    <x v="1"/>
    <x v="3"/>
    <n v="5"/>
    <n v="1710"/>
    <n v="338.1"/>
  </r>
  <r>
    <x v="571"/>
    <x v="0"/>
    <x v="0"/>
    <x v="2"/>
    <n v="2"/>
    <n v="1878"/>
    <n v="386.28"/>
  </r>
  <r>
    <x v="843"/>
    <x v="2"/>
    <x v="2"/>
    <x v="2"/>
    <n v="1"/>
    <n v="569"/>
    <n v="141.33000000000001"/>
  </r>
  <r>
    <x v="246"/>
    <x v="5"/>
    <x v="2"/>
    <x v="3"/>
    <n v="3"/>
    <n v="1488"/>
    <n v="296.36"/>
  </r>
  <r>
    <x v="341"/>
    <x v="1"/>
    <x v="1"/>
    <x v="3"/>
    <n v="9"/>
    <n v="9918"/>
    <n v="1956.17"/>
  </r>
  <r>
    <x v="768"/>
    <x v="5"/>
    <x v="2"/>
    <x v="2"/>
    <n v="3"/>
    <n v="432"/>
    <n v="36.840000000000003"/>
  </r>
  <r>
    <x v="796"/>
    <x v="2"/>
    <x v="2"/>
    <x v="1"/>
    <n v="9"/>
    <n v="9828"/>
    <n v="1300.68"/>
  </r>
  <r>
    <x v="66"/>
    <x v="5"/>
    <x v="2"/>
    <x v="0"/>
    <n v="5"/>
    <n v="3625"/>
    <n v="245.52"/>
  </r>
  <r>
    <x v="190"/>
    <x v="5"/>
    <x v="2"/>
    <x v="2"/>
    <n v="3"/>
    <n v="2187"/>
    <n v="491.13"/>
  </r>
  <r>
    <x v="126"/>
    <x v="6"/>
    <x v="1"/>
    <x v="2"/>
    <n v="5"/>
    <n v="5105"/>
    <n v="1003.4"/>
  </r>
  <r>
    <x v="677"/>
    <x v="4"/>
    <x v="1"/>
    <x v="2"/>
    <n v="3"/>
    <n v="1392"/>
    <n v="345.78"/>
  </r>
  <r>
    <x v="256"/>
    <x v="7"/>
    <x v="2"/>
    <x v="0"/>
    <n v="2"/>
    <n v="744"/>
    <n v="110.81"/>
  </r>
  <r>
    <x v="844"/>
    <x v="5"/>
    <x v="2"/>
    <x v="2"/>
    <n v="4"/>
    <n v="1724"/>
    <n v="233.21"/>
  </r>
  <r>
    <x v="845"/>
    <x v="1"/>
    <x v="1"/>
    <x v="3"/>
    <n v="5"/>
    <n v="1940"/>
    <n v="423.17"/>
  </r>
  <r>
    <x v="846"/>
    <x v="1"/>
    <x v="1"/>
    <x v="2"/>
    <n v="4"/>
    <n v="356"/>
    <n v="59.15"/>
  </r>
  <r>
    <x v="251"/>
    <x v="6"/>
    <x v="1"/>
    <x v="3"/>
    <n v="5"/>
    <n v="1095"/>
    <n v="269.87"/>
  </r>
  <r>
    <x v="847"/>
    <x v="2"/>
    <x v="2"/>
    <x v="0"/>
    <n v="8"/>
    <n v="4064"/>
    <n v="543.9"/>
  </r>
  <r>
    <x v="211"/>
    <x v="5"/>
    <x v="2"/>
    <x v="3"/>
    <n v="7"/>
    <n v="5453"/>
    <n v="1592.37"/>
  </r>
  <r>
    <x v="376"/>
    <x v="6"/>
    <x v="1"/>
    <x v="2"/>
    <n v="8"/>
    <n v="7104"/>
    <n v="529.35"/>
  </r>
  <r>
    <x v="57"/>
    <x v="8"/>
    <x v="1"/>
    <x v="1"/>
    <n v="9"/>
    <n v="2745"/>
    <n v="660.56"/>
  </r>
  <r>
    <x v="274"/>
    <x v="3"/>
    <x v="2"/>
    <x v="0"/>
    <n v="5"/>
    <n v="1030"/>
    <n v="64.81"/>
  </r>
  <r>
    <x v="848"/>
    <x v="2"/>
    <x v="2"/>
    <x v="0"/>
    <n v="9"/>
    <n v="8973"/>
    <n v="471.86"/>
  </r>
  <r>
    <x v="91"/>
    <x v="8"/>
    <x v="1"/>
    <x v="0"/>
    <n v="2"/>
    <n v="794"/>
    <n v="128.5"/>
  </r>
  <r>
    <x v="119"/>
    <x v="0"/>
    <x v="0"/>
    <x v="2"/>
    <n v="6"/>
    <n v="2142"/>
    <n v="476.19"/>
  </r>
  <r>
    <x v="533"/>
    <x v="4"/>
    <x v="1"/>
    <x v="1"/>
    <n v="2"/>
    <n v="414"/>
    <n v="51.1"/>
  </r>
  <r>
    <x v="242"/>
    <x v="2"/>
    <x v="2"/>
    <x v="0"/>
    <n v="3"/>
    <n v="1416"/>
    <n v="220.7"/>
  </r>
  <r>
    <x v="8"/>
    <x v="2"/>
    <x v="2"/>
    <x v="2"/>
    <n v="3"/>
    <n v="2103"/>
    <n v="541.35"/>
  </r>
  <r>
    <x v="295"/>
    <x v="3"/>
    <x v="2"/>
    <x v="3"/>
    <n v="3"/>
    <n v="861"/>
    <n v="173.49"/>
  </r>
  <r>
    <x v="849"/>
    <x v="4"/>
    <x v="1"/>
    <x v="3"/>
    <n v="3"/>
    <n v="2367"/>
    <n v="222.26"/>
  </r>
  <r>
    <x v="283"/>
    <x v="2"/>
    <x v="2"/>
    <x v="2"/>
    <n v="5"/>
    <n v="2435"/>
    <n v="688.82"/>
  </r>
  <r>
    <x v="344"/>
    <x v="0"/>
    <x v="0"/>
    <x v="2"/>
    <n v="4"/>
    <n v="2456"/>
    <n v="163.61000000000001"/>
  </r>
  <r>
    <x v="336"/>
    <x v="9"/>
    <x v="2"/>
    <x v="1"/>
    <n v="4"/>
    <n v="3216"/>
    <n v="962.49"/>
  </r>
  <r>
    <x v="619"/>
    <x v="5"/>
    <x v="2"/>
    <x v="1"/>
    <n v="4"/>
    <n v="4324"/>
    <n v="833.11"/>
  </r>
  <r>
    <x v="850"/>
    <x v="1"/>
    <x v="1"/>
    <x v="2"/>
    <n v="4"/>
    <n v="2628"/>
    <n v="727.87"/>
  </r>
  <r>
    <x v="212"/>
    <x v="8"/>
    <x v="1"/>
    <x v="3"/>
    <n v="8"/>
    <n v="8992"/>
    <n v="2018.64"/>
  </r>
  <r>
    <x v="751"/>
    <x v="9"/>
    <x v="2"/>
    <x v="3"/>
    <n v="6"/>
    <n v="360"/>
    <n v="22.16"/>
  </r>
  <r>
    <x v="530"/>
    <x v="2"/>
    <x v="2"/>
    <x v="2"/>
    <n v="3"/>
    <n v="2067"/>
    <n v="479.39"/>
  </r>
  <r>
    <x v="353"/>
    <x v="1"/>
    <x v="1"/>
    <x v="2"/>
    <n v="9"/>
    <n v="3573"/>
    <n v="550.44000000000005"/>
  </r>
  <r>
    <x v="625"/>
    <x v="9"/>
    <x v="2"/>
    <x v="2"/>
    <n v="8"/>
    <n v="1800"/>
    <n v="142.86000000000001"/>
  </r>
  <r>
    <x v="687"/>
    <x v="0"/>
    <x v="0"/>
    <x v="2"/>
    <n v="8"/>
    <n v="3912"/>
    <n v="334.1"/>
  </r>
  <r>
    <x v="474"/>
    <x v="4"/>
    <x v="1"/>
    <x v="0"/>
    <n v="8"/>
    <n v="5640"/>
    <n v="747.26"/>
  </r>
  <r>
    <x v="851"/>
    <x v="2"/>
    <x v="2"/>
    <x v="2"/>
    <n v="1"/>
    <n v="552"/>
    <n v="115.74"/>
  </r>
  <r>
    <x v="803"/>
    <x v="1"/>
    <x v="1"/>
    <x v="2"/>
    <n v="7"/>
    <n v="1428"/>
    <n v="289.64999999999998"/>
  </r>
  <r>
    <x v="187"/>
    <x v="0"/>
    <x v="0"/>
    <x v="3"/>
    <n v="1"/>
    <n v="349"/>
    <n v="42.05"/>
  </r>
  <r>
    <x v="822"/>
    <x v="2"/>
    <x v="2"/>
    <x v="0"/>
    <n v="6"/>
    <n v="6402"/>
    <n v="1366.28"/>
  </r>
  <r>
    <x v="636"/>
    <x v="6"/>
    <x v="1"/>
    <x v="1"/>
    <n v="9"/>
    <n v="657"/>
    <n v="185.95"/>
  </r>
  <r>
    <x v="616"/>
    <x v="1"/>
    <x v="1"/>
    <x v="3"/>
    <n v="7"/>
    <n v="5327"/>
    <n v="950.7"/>
  </r>
  <r>
    <x v="739"/>
    <x v="8"/>
    <x v="1"/>
    <x v="0"/>
    <n v="4"/>
    <n v="4196"/>
    <n v="1152.45"/>
  </r>
  <r>
    <x v="609"/>
    <x v="9"/>
    <x v="2"/>
    <x v="1"/>
    <n v="4"/>
    <n v="2892"/>
    <n v="863.47"/>
  </r>
  <r>
    <x v="852"/>
    <x v="9"/>
    <x v="2"/>
    <x v="3"/>
    <n v="9"/>
    <n v="2772"/>
    <n v="432.77"/>
  </r>
  <r>
    <x v="164"/>
    <x v="5"/>
    <x v="2"/>
    <x v="0"/>
    <n v="6"/>
    <n v="4692"/>
    <n v="1044.97"/>
  </r>
  <r>
    <x v="847"/>
    <x v="1"/>
    <x v="1"/>
    <x v="1"/>
    <n v="6"/>
    <n v="2742"/>
    <n v="334.48"/>
  </r>
  <r>
    <x v="283"/>
    <x v="7"/>
    <x v="2"/>
    <x v="0"/>
    <n v="8"/>
    <n v="8896"/>
    <n v="1154.96"/>
  </r>
  <r>
    <x v="853"/>
    <x v="1"/>
    <x v="1"/>
    <x v="0"/>
    <n v="2"/>
    <n v="2344"/>
    <n v="385.19"/>
  </r>
  <r>
    <x v="833"/>
    <x v="4"/>
    <x v="1"/>
    <x v="2"/>
    <n v="7"/>
    <n v="4186"/>
    <n v="655.53"/>
  </r>
  <r>
    <x v="583"/>
    <x v="2"/>
    <x v="2"/>
    <x v="1"/>
    <n v="9"/>
    <n v="5238"/>
    <n v="1152.42"/>
  </r>
  <r>
    <x v="199"/>
    <x v="1"/>
    <x v="1"/>
    <x v="0"/>
    <n v="3"/>
    <n v="2982"/>
    <n v="452.22"/>
  </r>
  <r>
    <x v="146"/>
    <x v="5"/>
    <x v="2"/>
    <x v="3"/>
    <n v="4"/>
    <n v="2580"/>
    <n v="602.5"/>
  </r>
  <r>
    <x v="607"/>
    <x v="8"/>
    <x v="1"/>
    <x v="3"/>
    <n v="5"/>
    <n v="2675"/>
    <n v="671.6"/>
  </r>
  <r>
    <x v="539"/>
    <x v="0"/>
    <x v="0"/>
    <x v="1"/>
    <n v="4"/>
    <n v="2396"/>
    <n v="608.5"/>
  </r>
  <r>
    <x v="58"/>
    <x v="9"/>
    <x v="2"/>
    <x v="3"/>
    <n v="5"/>
    <n v="1600"/>
    <n v="242.25"/>
  </r>
  <r>
    <x v="735"/>
    <x v="5"/>
    <x v="2"/>
    <x v="0"/>
    <n v="4"/>
    <n v="304"/>
    <n v="34.729999999999997"/>
  </r>
  <r>
    <x v="342"/>
    <x v="8"/>
    <x v="1"/>
    <x v="1"/>
    <n v="9"/>
    <n v="2070"/>
    <n v="457.39"/>
  </r>
  <r>
    <x v="854"/>
    <x v="0"/>
    <x v="0"/>
    <x v="0"/>
    <n v="5"/>
    <n v="1230"/>
    <n v="158.22999999999999"/>
  </r>
  <r>
    <x v="377"/>
    <x v="3"/>
    <x v="2"/>
    <x v="2"/>
    <n v="6"/>
    <n v="6234"/>
    <n v="758.78"/>
  </r>
  <r>
    <x v="739"/>
    <x v="4"/>
    <x v="1"/>
    <x v="2"/>
    <n v="2"/>
    <n v="396"/>
    <n v="46.33"/>
  </r>
  <r>
    <x v="191"/>
    <x v="1"/>
    <x v="1"/>
    <x v="1"/>
    <n v="9"/>
    <n v="2349"/>
    <n v="244.18"/>
  </r>
  <r>
    <x v="160"/>
    <x v="4"/>
    <x v="1"/>
    <x v="0"/>
    <n v="9"/>
    <n v="5949"/>
    <n v="626.91999999999996"/>
  </r>
  <r>
    <x v="147"/>
    <x v="0"/>
    <x v="0"/>
    <x v="1"/>
    <n v="7"/>
    <n v="5957"/>
    <n v="1433.85"/>
  </r>
  <r>
    <x v="436"/>
    <x v="4"/>
    <x v="1"/>
    <x v="1"/>
    <n v="3"/>
    <n v="1989"/>
    <n v="299.79000000000002"/>
  </r>
  <r>
    <x v="422"/>
    <x v="1"/>
    <x v="1"/>
    <x v="2"/>
    <n v="1"/>
    <n v="1138"/>
    <n v="243.36"/>
  </r>
  <r>
    <x v="102"/>
    <x v="2"/>
    <x v="2"/>
    <x v="3"/>
    <n v="9"/>
    <n v="3321"/>
    <n v="689.64"/>
  </r>
  <r>
    <x v="855"/>
    <x v="3"/>
    <x v="2"/>
    <x v="2"/>
    <n v="4"/>
    <n v="4480"/>
    <n v="592.82000000000005"/>
  </r>
  <r>
    <x v="835"/>
    <x v="5"/>
    <x v="2"/>
    <x v="1"/>
    <n v="3"/>
    <n v="1533"/>
    <n v="440.88"/>
  </r>
  <r>
    <x v="392"/>
    <x v="1"/>
    <x v="1"/>
    <x v="1"/>
    <n v="1"/>
    <n v="109"/>
    <n v="10.35"/>
  </r>
  <r>
    <x v="263"/>
    <x v="7"/>
    <x v="2"/>
    <x v="2"/>
    <n v="4"/>
    <n v="2380"/>
    <n v="594.86"/>
  </r>
  <r>
    <x v="326"/>
    <x v="0"/>
    <x v="0"/>
    <x v="2"/>
    <n v="8"/>
    <n v="2592"/>
    <n v="432.37"/>
  </r>
  <r>
    <x v="856"/>
    <x v="9"/>
    <x v="2"/>
    <x v="1"/>
    <n v="6"/>
    <n v="5112"/>
    <n v="1289.47"/>
  </r>
  <r>
    <x v="610"/>
    <x v="5"/>
    <x v="2"/>
    <x v="0"/>
    <n v="8"/>
    <n v="9392"/>
    <n v="1753.08"/>
  </r>
  <r>
    <x v="257"/>
    <x v="9"/>
    <x v="2"/>
    <x v="3"/>
    <n v="2"/>
    <n v="2386"/>
    <n v="381.83"/>
  </r>
  <r>
    <x v="353"/>
    <x v="5"/>
    <x v="2"/>
    <x v="2"/>
    <n v="5"/>
    <n v="465"/>
    <n v="71.23"/>
  </r>
  <r>
    <x v="704"/>
    <x v="7"/>
    <x v="2"/>
    <x v="3"/>
    <n v="2"/>
    <n v="604"/>
    <n v="102.52"/>
  </r>
  <r>
    <x v="186"/>
    <x v="5"/>
    <x v="2"/>
    <x v="1"/>
    <n v="2"/>
    <n v="2216"/>
    <n v="650.27"/>
  </r>
  <r>
    <x v="68"/>
    <x v="1"/>
    <x v="1"/>
    <x v="1"/>
    <n v="4"/>
    <n v="1168"/>
    <n v="220.22"/>
  </r>
  <r>
    <x v="833"/>
    <x v="6"/>
    <x v="1"/>
    <x v="2"/>
    <n v="7"/>
    <n v="4088"/>
    <n v="230.43"/>
  </r>
  <r>
    <x v="857"/>
    <x v="8"/>
    <x v="1"/>
    <x v="3"/>
    <n v="7"/>
    <n v="2597"/>
    <n v="152.09"/>
  </r>
  <r>
    <x v="858"/>
    <x v="5"/>
    <x v="2"/>
    <x v="3"/>
    <n v="3"/>
    <n v="2151"/>
    <n v="322.02999999999997"/>
  </r>
  <r>
    <x v="303"/>
    <x v="9"/>
    <x v="2"/>
    <x v="1"/>
    <n v="6"/>
    <n v="462"/>
    <n v="71.22"/>
  </r>
  <r>
    <x v="139"/>
    <x v="1"/>
    <x v="1"/>
    <x v="0"/>
    <n v="7"/>
    <n v="5957"/>
    <n v="1077.8599999999999"/>
  </r>
  <r>
    <x v="841"/>
    <x v="7"/>
    <x v="2"/>
    <x v="3"/>
    <n v="6"/>
    <n v="6978"/>
    <n v="2028.63"/>
  </r>
  <r>
    <x v="836"/>
    <x v="4"/>
    <x v="1"/>
    <x v="2"/>
    <n v="1"/>
    <n v="282"/>
    <n v="72.5"/>
  </r>
  <r>
    <x v="64"/>
    <x v="3"/>
    <x v="2"/>
    <x v="1"/>
    <n v="1"/>
    <n v="157"/>
    <n v="27.65"/>
  </r>
  <r>
    <x v="63"/>
    <x v="6"/>
    <x v="1"/>
    <x v="0"/>
    <n v="8"/>
    <n v="3304"/>
    <n v="404.33"/>
  </r>
  <r>
    <x v="516"/>
    <x v="4"/>
    <x v="1"/>
    <x v="0"/>
    <n v="3"/>
    <n v="3051"/>
    <n v="201.26"/>
  </r>
  <r>
    <x v="821"/>
    <x v="1"/>
    <x v="1"/>
    <x v="1"/>
    <n v="9"/>
    <n v="8082"/>
    <n v="1783.55"/>
  </r>
  <r>
    <x v="859"/>
    <x v="9"/>
    <x v="2"/>
    <x v="3"/>
    <n v="3"/>
    <n v="510"/>
    <n v="110.38"/>
  </r>
  <r>
    <x v="341"/>
    <x v="2"/>
    <x v="2"/>
    <x v="1"/>
    <n v="8"/>
    <n v="3976"/>
    <n v="1170.3599999999999"/>
  </r>
  <r>
    <x v="262"/>
    <x v="7"/>
    <x v="2"/>
    <x v="1"/>
    <n v="9"/>
    <n v="828"/>
    <n v="59.99"/>
  </r>
  <r>
    <x v="246"/>
    <x v="4"/>
    <x v="1"/>
    <x v="3"/>
    <n v="7"/>
    <n v="2457"/>
    <n v="388.11"/>
  </r>
  <r>
    <x v="786"/>
    <x v="3"/>
    <x v="2"/>
    <x v="0"/>
    <n v="4"/>
    <n v="3924"/>
    <n v="298.07"/>
  </r>
  <r>
    <x v="860"/>
    <x v="4"/>
    <x v="1"/>
    <x v="3"/>
    <n v="2"/>
    <n v="2018"/>
    <n v="227.75"/>
  </r>
  <r>
    <x v="303"/>
    <x v="6"/>
    <x v="1"/>
    <x v="3"/>
    <n v="3"/>
    <n v="2043"/>
    <n v="479.9"/>
  </r>
  <r>
    <x v="648"/>
    <x v="0"/>
    <x v="0"/>
    <x v="3"/>
    <n v="5"/>
    <n v="1035"/>
    <n v="187.12"/>
  </r>
  <r>
    <x v="212"/>
    <x v="5"/>
    <x v="2"/>
    <x v="0"/>
    <n v="6"/>
    <n v="2724"/>
    <n v="675.53"/>
  </r>
  <r>
    <x v="772"/>
    <x v="3"/>
    <x v="2"/>
    <x v="1"/>
    <n v="1"/>
    <n v="1120"/>
    <n v="127.32"/>
  </r>
  <r>
    <x v="756"/>
    <x v="6"/>
    <x v="1"/>
    <x v="0"/>
    <n v="6"/>
    <n v="3438"/>
    <n v="631.95000000000005"/>
  </r>
  <r>
    <x v="11"/>
    <x v="5"/>
    <x v="2"/>
    <x v="3"/>
    <n v="5"/>
    <n v="3170"/>
    <n v="379.27"/>
  </r>
  <r>
    <x v="22"/>
    <x v="5"/>
    <x v="2"/>
    <x v="1"/>
    <n v="4"/>
    <n v="660"/>
    <n v="83.96"/>
  </r>
  <r>
    <x v="861"/>
    <x v="2"/>
    <x v="2"/>
    <x v="1"/>
    <n v="7"/>
    <n v="4669"/>
    <n v="1088.1500000000001"/>
  </r>
  <r>
    <x v="209"/>
    <x v="5"/>
    <x v="2"/>
    <x v="3"/>
    <n v="5"/>
    <n v="1045"/>
    <n v="89"/>
  </r>
  <r>
    <x v="558"/>
    <x v="8"/>
    <x v="1"/>
    <x v="0"/>
    <n v="4"/>
    <n v="2724"/>
    <n v="229.47"/>
  </r>
  <r>
    <x v="496"/>
    <x v="4"/>
    <x v="1"/>
    <x v="3"/>
    <n v="8"/>
    <n v="5312"/>
    <n v="1583"/>
  </r>
  <r>
    <x v="862"/>
    <x v="2"/>
    <x v="2"/>
    <x v="3"/>
    <n v="4"/>
    <n v="4252"/>
    <n v="445.18"/>
  </r>
  <r>
    <x v="62"/>
    <x v="0"/>
    <x v="0"/>
    <x v="1"/>
    <n v="7"/>
    <n v="8057"/>
    <n v="1652.27"/>
  </r>
  <r>
    <x v="657"/>
    <x v="8"/>
    <x v="1"/>
    <x v="2"/>
    <n v="7"/>
    <n v="2023"/>
    <n v="274.25"/>
  </r>
  <r>
    <x v="3"/>
    <x v="6"/>
    <x v="1"/>
    <x v="2"/>
    <n v="8"/>
    <n v="9416"/>
    <n v="2125.54"/>
  </r>
  <r>
    <x v="412"/>
    <x v="6"/>
    <x v="1"/>
    <x v="1"/>
    <n v="8"/>
    <n v="7560"/>
    <n v="494.34"/>
  </r>
  <r>
    <x v="690"/>
    <x v="6"/>
    <x v="1"/>
    <x v="3"/>
    <n v="2"/>
    <n v="828"/>
    <n v="50.07"/>
  </r>
  <r>
    <x v="863"/>
    <x v="1"/>
    <x v="1"/>
    <x v="3"/>
    <n v="1"/>
    <n v="527"/>
    <n v="27.45"/>
  </r>
  <r>
    <x v="37"/>
    <x v="8"/>
    <x v="1"/>
    <x v="0"/>
    <n v="2"/>
    <n v="1160"/>
    <n v="206.49"/>
  </r>
  <r>
    <x v="540"/>
    <x v="1"/>
    <x v="1"/>
    <x v="3"/>
    <n v="5"/>
    <n v="5430"/>
    <n v="310.86"/>
  </r>
  <r>
    <x v="864"/>
    <x v="2"/>
    <x v="2"/>
    <x v="2"/>
    <n v="7"/>
    <n v="6874"/>
    <n v="454.53"/>
  </r>
  <r>
    <x v="865"/>
    <x v="0"/>
    <x v="0"/>
    <x v="1"/>
    <n v="8"/>
    <n v="8952"/>
    <n v="1825.37"/>
  </r>
  <r>
    <x v="437"/>
    <x v="1"/>
    <x v="1"/>
    <x v="1"/>
    <n v="8"/>
    <n v="416"/>
    <n v="67.81"/>
  </r>
  <r>
    <x v="249"/>
    <x v="7"/>
    <x v="2"/>
    <x v="2"/>
    <n v="3"/>
    <n v="1680"/>
    <n v="140.27000000000001"/>
  </r>
  <r>
    <x v="866"/>
    <x v="1"/>
    <x v="1"/>
    <x v="2"/>
    <n v="7"/>
    <n v="4340"/>
    <n v="383.9"/>
  </r>
  <r>
    <x v="714"/>
    <x v="9"/>
    <x v="2"/>
    <x v="3"/>
    <n v="9"/>
    <n v="7650"/>
    <n v="2130.8200000000002"/>
  </r>
  <r>
    <x v="840"/>
    <x v="5"/>
    <x v="2"/>
    <x v="3"/>
    <n v="8"/>
    <n v="6328"/>
    <n v="412.76"/>
  </r>
  <r>
    <x v="688"/>
    <x v="8"/>
    <x v="1"/>
    <x v="3"/>
    <n v="2"/>
    <n v="1312"/>
    <n v="344"/>
  </r>
  <r>
    <x v="633"/>
    <x v="3"/>
    <x v="2"/>
    <x v="1"/>
    <n v="9"/>
    <n v="8055"/>
    <n v="2300.17"/>
  </r>
  <r>
    <x v="120"/>
    <x v="3"/>
    <x v="2"/>
    <x v="2"/>
    <n v="2"/>
    <n v="840"/>
    <n v="153.61000000000001"/>
  </r>
  <r>
    <x v="867"/>
    <x v="2"/>
    <x v="2"/>
    <x v="2"/>
    <n v="9"/>
    <n v="9423"/>
    <n v="2794.89"/>
  </r>
  <r>
    <x v="80"/>
    <x v="6"/>
    <x v="1"/>
    <x v="0"/>
    <n v="8"/>
    <n v="6520"/>
    <n v="1113.1199999999999"/>
  </r>
  <r>
    <x v="199"/>
    <x v="9"/>
    <x v="2"/>
    <x v="0"/>
    <n v="3"/>
    <n v="1950"/>
    <n v="116.12"/>
  </r>
  <r>
    <x v="868"/>
    <x v="3"/>
    <x v="2"/>
    <x v="2"/>
    <n v="6"/>
    <n v="5928"/>
    <n v="1177.2"/>
  </r>
  <r>
    <x v="587"/>
    <x v="3"/>
    <x v="2"/>
    <x v="2"/>
    <n v="7"/>
    <n v="4809"/>
    <n v="1418.72"/>
  </r>
  <r>
    <x v="388"/>
    <x v="7"/>
    <x v="2"/>
    <x v="3"/>
    <n v="4"/>
    <n v="356"/>
    <n v="23.4"/>
  </r>
  <r>
    <x v="869"/>
    <x v="9"/>
    <x v="2"/>
    <x v="2"/>
    <n v="2"/>
    <n v="570"/>
    <n v="94.39"/>
  </r>
  <r>
    <x v="728"/>
    <x v="6"/>
    <x v="1"/>
    <x v="1"/>
    <n v="7"/>
    <n v="7791"/>
    <n v="907.96"/>
  </r>
  <r>
    <x v="870"/>
    <x v="5"/>
    <x v="2"/>
    <x v="1"/>
    <n v="4"/>
    <n v="4168"/>
    <n v="494.48"/>
  </r>
  <r>
    <x v="445"/>
    <x v="2"/>
    <x v="2"/>
    <x v="0"/>
    <n v="2"/>
    <n v="684"/>
    <n v="183.85"/>
  </r>
  <r>
    <x v="638"/>
    <x v="7"/>
    <x v="2"/>
    <x v="1"/>
    <n v="7"/>
    <n v="3857"/>
    <n v="447.99"/>
  </r>
  <r>
    <x v="189"/>
    <x v="3"/>
    <x v="2"/>
    <x v="0"/>
    <n v="5"/>
    <n v="3250"/>
    <n v="699.99"/>
  </r>
  <r>
    <x v="871"/>
    <x v="0"/>
    <x v="0"/>
    <x v="0"/>
    <n v="6"/>
    <n v="1194"/>
    <n v="79.62"/>
  </r>
  <r>
    <x v="344"/>
    <x v="9"/>
    <x v="2"/>
    <x v="3"/>
    <n v="6"/>
    <n v="3486"/>
    <n v="320.91000000000003"/>
  </r>
  <r>
    <x v="87"/>
    <x v="6"/>
    <x v="1"/>
    <x v="3"/>
    <n v="7"/>
    <n v="1554"/>
    <n v="370.97"/>
  </r>
  <r>
    <x v="292"/>
    <x v="5"/>
    <x v="2"/>
    <x v="0"/>
    <n v="3"/>
    <n v="2601"/>
    <n v="463.36"/>
  </r>
  <r>
    <x v="872"/>
    <x v="4"/>
    <x v="1"/>
    <x v="3"/>
    <n v="4"/>
    <n v="3616"/>
    <n v="745.75"/>
  </r>
  <r>
    <x v="73"/>
    <x v="1"/>
    <x v="1"/>
    <x v="3"/>
    <n v="5"/>
    <n v="3350"/>
    <n v="986.33"/>
  </r>
  <r>
    <x v="119"/>
    <x v="5"/>
    <x v="2"/>
    <x v="2"/>
    <n v="5"/>
    <n v="2545"/>
    <n v="588.47"/>
  </r>
  <r>
    <x v="873"/>
    <x v="6"/>
    <x v="1"/>
    <x v="1"/>
    <n v="1"/>
    <n v="545"/>
    <n v="68.28"/>
  </r>
  <r>
    <x v="453"/>
    <x v="1"/>
    <x v="1"/>
    <x v="0"/>
    <n v="7"/>
    <n v="1470"/>
    <n v="178.85"/>
  </r>
  <r>
    <x v="554"/>
    <x v="3"/>
    <x v="2"/>
    <x v="2"/>
    <n v="3"/>
    <n v="3126"/>
    <n v="870.95"/>
  </r>
  <r>
    <x v="874"/>
    <x v="9"/>
    <x v="2"/>
    <x v="3"/>
    <n v="3"/>
    <n v="1368"/>
    <n v="302.29000000000002"/>
  </r>
  <r>
    <x v="378"/>
    <x v="4"/>
    <x v="1"/>
    <x v="1"/>
    <n v="9"/>
    <n v="7083"/>
    <n v="1353.39"/>
  </r>
  <r>
    <x v="551"/>
    <x v="0"/>
    <x v="0"/>
    <x v="1"/>
    <n v="2"/>
    <n v="1994"/>
    <n v="453.74"/>
  </r>
  <r>
    <x v="52"/>
    <x v="3"/>
    <x v="2"/>
    <x v="0"/>
    <n v="4"/>
    <n v="4716"/>
    <n v="1084.1600000000001"/>
  </r>
  <r>
    <x v="544"/>
    <x v="6"/>
    <x v="1"/>
    <x v="2"/>
    <n v="1"/>
    <n v="975"/>
    <n v="125.85"/>
  </r>
  <r>
    <x v="364"/>
    <x v="7"/>
    <x v="2"/>
    <x v="3"/>
    <n v="9"/>
    <n v="9891"/>
    <n v="1774.03"/>
  </r>
  <r>
    <x v="342"/>
    <x v="5"/>
    <x v="2"/>
    <x v="2"/>
    <n v="2"/>
    <n v="626"/>
    <n v="159.49"/>
  </r>
  <r>
    <x v="849"/>
    <x v="6"/>
    <x v="1"/>
    <x v="1"/>
    <n v="8"/>
    <n v="5632"/>
    <n v="1620.04"/>
  </r>
  <r>
    <x v="112"/>
    <x v="0"/>
    <x v="0"/>
    <x v="3"/>
    <n v="3"/>
    <n v="2568"/>
    <n v="734.6"/>
  </r>
  <r>
    <x v="250"/>
    <x v="2"/>
    <x v="2"/>
    <x v="1"/>
    <n v="7"/>
    <n v="5285"/>
    <n v="629.07000000000005"/>
  </r>
  <r>
    <x v="826"/>
    <x v="3"/>
    <x v="2"/>
    <x v="1"/>
    <n v="2"/>
    <n v="516"/>
    <n v="122.77"/>
  </r>
  <r>
    <x v="169"/>
    <x v="6"/>
    <x v="1"/>
    <x v="1"/>
    <n v="3"/>
    <n v="2139"/>
    <n v="503.08"/>
  </r>
  <r>
    <x v="875"/>
    <x v="9"/>
    <x v="2"/>
    <x v="1"/>
    <n v="9"/>
    <n v="8136"/>
    <n v="1923.89"/>
  </r>
  <r>
    <x v="876"/>
    <x v="9"/>
    <x v="2"/>
    <x v="3"/>
    <n v="5"/>
    <n v="2130"/>
    <n v="318.99"/>
  </r>
  <r>
    <x v="330"/>
    <x v="4"/>
    <x v="1"/>
    <x v="2"/>
    <n v="5"/>
    <n v="3445"/>
    <n v="202.15"/>
  </r>
  <r>
    <x v="877"/>
    <x v="2"/>
    <x v="2"/>
    <x v="1"/>
    <n v="8"/>
    <n v="5376"/>
    <n v="429.84"/>
  </r>
  <r>
    <x v="613"/>
    <x v="0"/>
    <x v="0"/>
    <x v="3"/>
    <n v="6"/>
    <n v="3006"/>
    <n v="730.14"/>
  </r>
  <r>
    <x v="403"/>
    <x v="4"/>
    <x v="1"/>
    <x v="0"/>
    <n v="7"/>
    <n v="3941"/>
    <n v="1113.8499999999999"/>
  </r>
  <r>
    <x v="563"/>
    <x v="6"/>
    <x v="1"/>
    <x v="0"/>
    <n v="5"/>
    <n v="3350"/>
    <n v="389.95"/>
  </r>
  <r>
    <x v="387"/>
    <x v="0"/>
    <x v="0"/>
    <x v="2"/>
    <n v="3"/>
    <n v="2019"/>
    <n v="265.44"/>
  </r>
  <r>
    <x v="317"/>
    <x v="4"/>
    <x v="1"/>
    <x v="0"/>
    <n v="8"/>
    <n v="2416"/>
    <n v="403.38"/>
  </r>
  <r>
    <x v="728"/>
    <x v="6"/>
    <x v="1"/>
    <x v="3"/>
    <n v="8"/>
    <n v="6160"/>
    <n v="684.71"/>
  </r>
  <r>
    <x v="709"/>
    <x v="0"/>
    <x v="0"/>
    <x v="1"/>
    <n v="4"/>
    <n v="2796"/>
    <n v="682.65"/>
  </r>
  <r>
    <x v="221"/>
    <x v="5"/>
    <x v="2"/>
    <x v="2"/>
    <n v="7"/>
    <n v="7700"/>
    <n v="1573.41"/>
  </r>
  <r>
    <x v="373"/>
    <x v="5"/>
    <x v="2"/>
    <x v="3"/>
    <n v="5"/>
    <n v="2095"/>
    <n v="193.93"/>
  </r>
  <r>
    <x v="407"/>
    <x v="3"/>
    <x v="2"/>
    <x v="0"/>
    <n v="5"/>
    <n v="5990"/>
    <n v="1548.62"/>
  </r>
  <r>
    <x v="874"/>
    <x v="5"/>
    <x v="2"/>
    <x v="0"/>
    <n v="2"/>
    <n v="1206"/>
    <n v="307.02"/>
  </r>
  <r>
    <x v="878"/>
    <x v="5"/>
    <x v="2"/>
    <x v="2"/>
    <n v="5"/>
    <n v="1330"/>
    <n v="285.77999999999997"/>
  </r>
  <r>
    <x v="879"/>
    <x v="3"/>
    <x v="2"/>
    <x v="3"/>
    <n v="6"/>
    <n v="2706"/>
    <n v="766.68"/>
  </r>
  <r>
    <x v="485"/>
    <x v="9"/>
    <x v="2"/>
    <x v="1"/>
    <n v="3"/>
    <n v="426"/>
    <n v="50.8"/>
  </r>
  <r>
    <x v="880"/>
    <x v="2"/>
    <x v="2"/>
    <x v="3"/>
    <n v="1"/>
    <n v="414"/>
    <n v="50.26"/>
  </r>
  <r>
    <x v="136"/>
    <x v="9"/>
    <x v="2"/>
    <x v="1"/>
    <n v="5"/>
    <n v="5465"/>
    <n v="546.33000000000004"/>
  </r>
  <r>
    <x v="79"/>
    <x v="2"/>
    <x v="2"/>
    <x v="2"/>
    <n v="3"/>
    <n v="726"/>
    <n v="71.06"/>
  </r>
  <r>
    <x v="881"/>
    <x v="5"/>
    <x v="2"/>
    <x v="1"/>
    <n v="1"/>
    <n v="1001"/>
    <n v="225.75"/>
  </r>
  <r>
    <x v="93"/>
    <x v="1"/>
    <x v="1"/>
    <x v="3"/>
    <n v="9"/>
    <n v="7362"/>
    <n v="1866.65"/>
  </r>
  <r>
    <x v="92"/>
    <x v="8"/>
    <x v="1"/>
    <x v="1"/>
    <n v="4"/>
    <n v="2284"/>
    <n v="576.59"/>
  </r>
  <r>
    <x v="527"/>
    <x v="2"/>
    <x v="2"/>
    <x v="1"/>
    <n v="4"/>
    <n v="2940"/>
    <n v="566.36"/>
  </r>
  <r>
    <x v="663"/>
    <x v="0"/>
    <x v="0"/>
    <x v="2"/>
    <n v="4"/>
    <n v="3068"/>
    <n v="868.89"/>
  </r>
  <r>
    <x v="852"/>
    <x v="7"/>
    <x v="2"/>
    <x v="0"/>
    <n v="3"/>
    <n v="3477"/>
    <n v="862.21"/>
  </r>
  <r>
    <x v="218"/>
    <x v="5"/>
    <x v="2"/>
    <x v="3"/>
    <n v="9"/>
    <n v="4014"/>
    <n v="204.48"/>
  </r>
  <r>
    <x v="852"/>
    <x v="6"/>
    <x v="1"/>
    <x v="0"/>
    <n v="8"/>
    <n v="7200"/>
    <n v="804.53"/>
  </r>
  <r>
    <x v="840"/>
    <x v="5"/>
    <x v="2"/>
    <x v="3"/>
    <n v="3"/>
    <n v="735"/>
    <n v="134.53"/>
  </r>
  <r>
    <x v="171"/>
    <x v="6"/>
    <x v="1"/>
    <x v="1"/>
    <n v="3"/>
    <n v="2964"/>
    <n v="446.54"/>
  </r>
  <r>
    <x v="219"/>
    <x v="3"/>
    <x v="2"/>
    <x v="3"/>
    <n v="9"/>
    <n v="3699"/>
    <n v="276.07"/>
  </r>
  <r>
    <x v="92"/>
    <x v="0"/>
    <x v="0"/>
    <x v="3"/>
    <n v="3"/>
    <n v="1563"/>
    <n v="221.62"/>
  </r>
  <r>
    <x v="442"/>
    <x v="1"/>
    <x v="1"/>
    <x v="2"/>
    <n v="2"/>
    <n v="124"/>
    <n v="32.270000000000003"/>
  </r>
  <r>
    <x v="237"/>
    <x v="1"/>
    <x v="1"/>
    <x v="0"/>
    <n v="2"/>
    <n v="416"/>
    <n v="71.680000000000007"/>
  </r>
  <r>
    <x v="401"/>
    <x v="3"/>
    <x v="2"/>
    <x v="2"/>
    <n v="8"/>
    <n v="2624"/>
    <n v="294.24"/>
  </r>
  <r>
    <x v="143"/>
    <x v="4"/>
    <x v="1"/>
    <x v="1"/>
    <n v="4"/>
    <n v="1636"/>
    <n v="134.85"/>
  </r>
  <r>
    <x v="161"/>
    <x v="4"/>
    <x v="1"/>
    <x v="1"/>
    <n v="8"/>
    <n v="8200"/>
    <n v="1978.93"/>
  </r>
  <r>
    <x v="149"/>
    <x v="1"/>
    <x v="1"/>
    <x v="1"/>
    <n v="5"/>
    <n v="5615"/>
    <n v="715.58"/>
  </r>
  <r>
    <x v="365"/>
    <x v="0"/>
    <x v="0"/>
    <x v="1"/>
    <n v="5"/>
    <n v="3085"/>
    <n v="413.52"/>
  </r>
  <r>
    <x v="820"/>
    <x v="8"/>
    <x v="1"/>
    <x v="2"/>
    <n v="6"/>
    <n v="3198"/>
    <n v="913.76"/>
  </r>
  <r>
    <x v="516"/>
    <x v="3"/>
    <x v="2"/>
    <x v="3"/>
    <n v="4"/>
    <n v="1848"/>
    <n v="374.66"/>
  </r>
  <r>
    <x v="832"/>
    <x v="5"/>
    <x v="2"/>
    <x v="0"/>
    <n v="4"/>
    <n v="652"/>
    <n v="116.06"/>
  </r>
  <r>
    <x v="601"/>
    <x v="1"/>
    <x v="1"/>
    <x v="2"/>
    <n v="6"/>
    <n v="2940"/>
    <n v="609.99"/>
  </r>
  <r>
    <x v="282"/>
    <x v="4"/>
    <x v="1"/>
    <x v="1"/>
    <n v="4"/>
    <n v="3912"/>
    <n v="454.89"/>
  </r>
  <r>
    <x v="672"/>
    <x v="2"/>
    <x v="2"/>
    <x v="2"/>
    <n v="8"/>
    <n v="9392"/>
    <n v="891.07"/>
  </r>
  <r>
    <x v="30"/>
    <x v="6"/>
    <x v="1"/>
    <x v="3"/>
    <n v="1"/>
    <n v="312"/>
    <n v="43.01"/>
  </r>
  <r>
    <x v="661"/>
    <x v="9"/>
    <x v="2"/>
    <x v="1"/>
    <n v="9"/>
    <n v="7731"/>
    <n v="1459.74"/>
  </r>
  <r>
    <x v="882"/>
    <x v="2"/>
    <x v="2"/>
    <x v="3"/>
    <n v="1"/>
    <n v="1081"/>
    <n v="229.32"/>
  </r>
  <r>
    <x v="173"/>
    <x v="7"/>
    <x v="2"/>
    <x v="3"/>
    <n v="6"/>
    <n v="1926"/>
    <n v="393.01"/>
  </r>
  <r>
    <x v="530"/>
    <x v="6"/>
    <x v="1"/>
    <x v="1"/>
    <n v="3"/>
    <n v="936"/>
    <n v="88.51"/>
  </r>
  <r>
    <x v="343"/>
    <x v="9"/>
    <x v="2"/>
    <x v="2"/>
    <n v="9"/>
    <n v="8550"/>
    <n v="1970.98"/>
  </r>
  <r>
    <x v="354"/>
    <x v="6"/>
    <x v="1"/>
    <x v="0"/>
    <n v="4"/>
    <n v="2468"/>
    <n v="457.51"/>
  </r>
  <r>
    <x v="339"/>
    <x v="2"/>
    <x v="2"/>
    <x v="3"/>
    <n v="3"/>
    <n v="801"/>
    <n v="90.34"/>
  </r>
  <r>
    <x v="564"/>
    <x v="9"/>
    <x v="2"/>
    <x v="1"/>
    <n v="9"/>
    <n v="2655"/>
    <n v="701.11"/>
  </r>
  <r>
    <x v="554"/>
    <x v="5"/>
    <x v="2"/>
    <x v="3"/>
    <n v="8"/>
    <n v="3928"/>
    <n v="700.38"/>
  </r>
  <r>
    <x v="325"/>
    <x v="6"/>
    <x v="1"/>
    <x v="1"/>
    <n v="8"/>
    <n v="6488"/>
    <n v="1438.34"/>
  </r>
  <r>
    <x v="13"/>
    <x v="4"/>
    <x v="1"/>
    <x v="3"/>
    <n v="9"/>
    <n v="7695"/>
    <n v="1749.26"/>
  </r>
  <r>
    <x v="431"/>
    <x v="4"/>
    <x v="1"/>
    <x v="3"/>
    <n v="2"/>
    <n v="1856"/>
    <n v="468.19"/>
  </r>
  <r>
    <x v="406"/>
    <x v="5"/>
    <x v="2"/>
    <x v="0"/>
    <n v="7"/>
    <n v="1519"/>
    <n v="403.63"/>
  </r>
  <r>
    <x v="385"/>
    <x v="2"/>
    <x v="2"/>
    <x v="3"/>
    <n v="3"/>
    <n v="3549"/>
    <n v="996.05"/>
  </r>
  <r>
    <x v="393"/>
    <x v="9"/>
    <x v="2"/>
    <x v="1"/>
    <n v="3"/>
    <n v="1656"/>
    <n v="378.84"/>
  </r>
  <r>
    <x v="715"/>
    <x v="8"/>
    <x v="1"/>
    <x v="0"/>
    <n v="7"/>
    <n v="812"/>
    <n v="175.55"/>
  </r>
  <r>
    <x v="793"/>
    <x v="1"/>
    <x v="1"/>
    <x v="0"/>
    <n v="5"/>
    <n v="3730"/>
    <n v="864.41"/>
  </r>
  <r>
    <x v="161"/>
    <x v="6"/>
    <x v="1"/>
    <x v="2"/>
    <n v="1"/>
    <n v="1161"/>
    <n v="210.87"/>
  </r>
  <r>
    <x v="531"/>
    <x v="4"/>
    <x v="1"/>
    <x v="0"/>
    <n v="3"/>
    <n v="2256"/>
    <n v="282.52"/>
  </r>
  <r>
    <x v="505"/>
    <x v="6"/>
    <x v="1"/>
    <x v="1"/>
    <n v="1"/>
    <n v="359"/>
    <n v="78.17"/>
  </r>
  <r>
    <x v="628"/>
    <x v="4"/>
    <x v="1"/>
    <x v="1"/>
    <n v="2"/>
    <n v="130"/>
    <n v="11.1"/>
  </r>
  <r>
    <x v="60"/>
    <x v="1"/>
    <x v="1"/>
    <x v="2"/>
    <n v="8"/>
    <n v="4248"/>
    <n v="831.54"/>
  </r>
  <r>
    <x v="883"/>
    <x v="3"/>
    <x v="2"/>
    <x v="2"/>
    <n v="5"/>
    <n v="1825"/>
    <n v="221.47"/>
  </r>
  <r>
    <x v="407"/>
    <x v="8"/>
    <x v="1"/>
    <x v="1"/>
    <n v="2"/>
    <n v="876"/>
    <n v="224.01"/>
  </r>
  <r>
    <x v="564"/>
    <x v="3"/>
    <x v="2"/>
    <x v="0"/>
    <n v="9"/>
    <n v="9180"/>
    <n v="2752.84"/>
  </r>
  <r>
    <x v="38"/>
    <x v="6"/>
    <x v="1"/>
    <x v="3"/>
    <n v="5"/>
    <n v="1765"/>
    <n v="160.88999999999999"/>
  </r>
  <r>
    <x v="789"/>
    <x v="6"/>
    <x v="1"/>
    <x v="2"/>
    <n v="2"/>
    <n v="1504"/>
    <n v="164.51"/>
  </r>
  <r>
    <x v="718"/>
    <x v="8"/>
    <x v="1"/>
    <x v="2"/>
    <n v="9"/>
    <n v="1881"/>
    <n v="430.78"/>
  </r>
  <r>
    <x v="714"/>
    <x v="8"/>
    <x v="1"/>
    <x v="1"/>
    <n v="9"/>
    <n v="7425"/>
    <n v="1533.72"/>
  </r>
  <r>
    <x v="15"/>
    <x v="2"/>
    <x v="2"/>
    <x v="1"/>
    <n v="9"/>
    <n v="720"/>
    <n v="192.83"/>
  </r>
  <r>
    <x v="517"/>
    <x v="7"/>
    <x v="2"/>
    <x v="3"/>
    <n v="5"/>
    <n v="2985"/>
    <n v="698.22"/>
  </r>
  <r>
    <x v="814"/>
    <x v="9"/>
    <x v="2"/>
    <x v="0"/>
    <n v="9"/>
    <n v="711"/>
    <n v="200.11"/>
  </r>
  <r>
    <x v="884"/>
    <x v="0"/>
    <x v="0"/>
    <x v="2"/>
    <n v="6"/>
    <n v="6276"/>
    <n v="1396.25"/>
  </r>
  <r>
    <x v="616"/>
    <x v="1"/>
    <x v="1"/>
    <x v="1"/>
    <n v="7"/>
    <n v="7966"/>
    <n v="955.8"/>
  </r>
  <r>
    <x v="107"/>
    <x v="4"/>
    <x v="1"/>
    <x v="1"/>
    <n v="8"/>
    <n v="4200"/>
    <n v="854.89"/>
  </r>
  <r>
    <x v="432"/>
    <x v="9"/>
    <x v="2"/>
    <x v="1"/>
    <n v="7"/>
    <n v="455"/>
    <n v="80"/>
  </r>
  <r>
    <x v="478"/>
    <x v="8"/>
    <x v="1"/>
    <x v="2"/>
    <n v="8"/>
    <n v="5040"/>
    <n v="465.36"/>
  </r>
  <r>
    <x v="513"/>
    <x v="1"/>
    <x v="1"/>
    <x v="1"/>
    <n v="1"/>
    <n v="856"/>
    <n v="87.69"/>
  </r>
  <r>
    <x v="50"/>
    <x v="6"/>
    <x v="1"/>
    <x v="3"/>
    <n v="5"/>
    <n v="5230"/>
    <n v="385.77"/>
  </r>
  <r>
    <x v="120"/>
    <x v="9"/>
    <x v="2"/>
    <x v="2"/>
    <n v="5"/>
    <n v="4635"/>
    <n v="769.03"/>
  </r>
  <r>
    <x v="820"/>
    <x v="9"/>
    <x v="2"/>
    <x v="1"/>
    <n v="6"/>
    <n v="5508"/>
    <n v="360.28"/>
  </r>
  <r>
    <x v="68"/>
    <x v="7"/>
    <x v="2"/>
    <x v="0"/>
    <n v="1"/>
    <n v="258"/>
    <n v="27.01"/>
  </r>
  <r>
    <x v="442"/>
    <x v="7"/>
    <x v="2"/>
    <x v="1"/>
    <n v="1"/>
    <n v="677"/>
    <n v="88.41"/>
  </r>
  <r>
    <x v="749"/>
    <x v="6"/>
    <x v="1"/>
    <x v="3"/>
    <n v="5"/>
    <n v="4545"/>
    <n v="755.05"/>
  </r>
  <r>
    <x v="299"/>
    <x v="7"/>
    <x v="2"/>
    <x v="2"/>
    <n v="5"/>
    <n v="4370"/>
    <n v="1255.3599999999999"/>
  </r>
  <r>
    <x v="519"/>
    <x v="8"/>
    <x v="1"/>
    <x v="1"/>
    <n v="3"/>
    <n v="372"/>
    <n v="57.51"/>
  </r>
  <r>
    <x v="640"/>
    <x v="3"/>
    <x v="2"/>
    <x v="3"/>
    <n v="9"/>
    <n v="3177"/>
    <n v="629.96"/>
  </r>
  <r>
    <x v="704"/>
    <x v="0"/>
    <x v="0"/>
    <x v="2"/>
    <n v="7"/>
    <n v="1659"/>
    <n v="127.48"/>
  </r>
  <r>
    <x v="157"/>
    <x v="2"/>
    <x v="2"/>
    <x v="2"/>
    <n v="3"/>
    <n v="3360"/>
    <n v="759.31"/>
  </r>
  <r>
    <x v="885"/>
    <x v="7"/>
    <x v="2"/>
    <x v="3"/>
    <n v="2"/>
    <n v="1132"/>
    <n v="290.56"/>
  </r>
  <r>
    <x v="220"/>
    <x v="5"/>
    <x v="2"/>
    <x v="1"/>
    <n v="5"/>
    <n v="1815"/>
    <n v="468.62"/>
  </r>
  <r>
    <x v="734"/>
    <x v="1"/>
    <x v="1"/>
    <x v="0"/>
    <n v="1"/>
    <n v="459"/>
    <n v="125.19"/>
  </r>
  <r>
    <x v="886"/>
    <x v="7"/>
    <x v="2"/>
    <x v="3"/>
    <n v="1"/>
    <n v="1128"/>
    <n v="73.739999999999995"/>
  </r>
  <r>
    <x v="421"/>
    <x v="6"/>
    <x v="1"/>
    <x v="1"/>
    <n v="6"/>
    <n v="1170"/>
    <n v="104.63"/>
  </r>
  <r>
    <x v="306"/>
    <x v="5"/>
    <x v="2"/>
    <x v="0"/>
    <n v="5"/>
    <n v="4420"/>
    <n v="380.69"/>
  </r>
  <r>
    <x v="544"/>
    <x v="7"/>
    <x v="2"/>
    <x v="3"/>
    <n v="6"/>
    <n v="456"/>
    <n v="69.150000000000006"/>
  </r>
  <r>
    <x v="400"/>
    <x v="2"/>
    <x v="2"/>
    <x v="0"/>
    <n v="2"/>
    <n v="1458"/>
    <n v="154.79"/>
  </r>
  <r>
    <x v="887"/>
    <x v="6"/>
    <x v="1"/>
    <x v="3"/>
    <n v="7"/>
    <n v="2989"/>
    <n v="197.58"/>
  </r>
  <r>
    <x v="888"/>
    <x v="3"/>
    <x v="2"/>
    <x v="0"/>
    <n v="4"/>
    <n v="3424"/>
    <n v="845.68"/>
  </r>
  <r>
    <x v="859"/>
    <x v="1"/>
    <x v="1"/>
    <x v="3"/>
    <n v="2"/>
    <n v="1226"/>
    <n v="124.25"/>
  </r>
  <r>
    <x v="419"/>
    <x v="9"/>
    <x v="2"/>
    <x v="0"/>
    <n v="8"/>
    <n v="6760"/>
    <n v="1097.6300000000001"/>
  </r>
  <r>
    <x v="889"/>
    <x v="7"/>
    <x v="2"/>
    <x v="3"/>
    <n v="1"/>
    <n v="111"/>
    <n v="13.61"/>
  </r>
  <r>
    <x v="636"/>
    <x v="0"/>
    <x v="0"/>
    <x v="0"/>
    <n v="5"/>
    <n v="3275"/>
    <n v="222.29"/>
  </r>
  <r>
    <x v="303"/>
    <x v="4"/>
    <x v="1"/>
    <x v="0"/>
    <n v="3"/>
    <n v="2508"/>
    <n v="498.69"/>
  </r>
  <r>
    <x v="207"/>
    <x v="8"/>
    <x v="1"/>
    <x v="2"/>
    <n v="8"/>
    <n v="904"/>
    <n v="202.35"/>
  </r>
  <r>
    <x v="640"/>
    <x v="0"/>
    <x v="0"/>
    <x v="3"/>
    <n v="3"/>
    <n v="1506"/>
    <n v="427.84"/>
  </r>
  <r>
    <x v="139"/>
    <x v="7"/>
    <x v="2"/>
    <x v="2"/>
    <n v="3"/>
    <n v="987"/>
    <n v="97.01"/>
  </r>
  <r>
    <x v="196"/>
    <x v="7"/>
    <x v="2"/>
    <x v="1"/>
    <n v="7"/>
    <n v="2968"/>
    <n v="728.94"/>
  </r>
  <r>
    <x v="81"/>
    <x v="1"/>
    <x v="1"/>
    <x v="2"/>
    <n v="5"/>
    <n v="4200"/>
    <n v="746.86"/>
  </r>
  <r>
    <x v="750"/>
    <x v="5"/>
    <x v="2"/>
    <x v="0"/>
    <n v="5"/>
    <n v="1645"/>
    <n v="313.66000000000003"/>
  </r>
  <r>
    <x v="890"/>
    <x v="0"/>
    <x v="0"/>
    <x v="1"/>
    <n v="3"/>
    <n v="3282"/>
    <n v="492.59"/>
  </r>
  <r>
    <x v="516"/>
    <x v="4"/>
    <x v="1"/>
    <x v="1"/>
    <n v="9"/>
    <n v="4914"/>
    <n v="1160.45"/>
  </r>
  <r>
    <x v="367"/>
    <x v="9"/>
    <x v="2"/>
    <x v="0"/>
    <n v="6"/>
    <n v="3924"/>
    <n v="762.96"/>
  </r>
  <r>
    <x v="250"/>
    <x v="4"/>
    <x v="1"/>
    <x v="2"/>
    <n v="6"/>
    <n v="420"/>
    <n v="65.62"/>
  </r>
  <r>
    <x v="168"/>
    <x v="0"/>
    <x v="0"/>
    <x v="3"/>
    <n v="4"/>
    <n v="1544"/>
    <n v="106.02"/>
  </r>
  <r>
    <x v="891"/>
    <x v="4"/>
    <x v="1"/>
    <x v="1"/>
    <n v="2"/>
    <n v="2046"/>
    <n v="233.47"/>
  </r>
  <r>
    <x v="424"/>
    <x v="4"/>
    <x v="1"/>
    <x v="3"/>
    <n v="2"/>
    <n v="1548"/>
    <n v="157.47999999999999"/>
  </r>
  <r>
    <x v="253"/>
    <x v="8"/>
    <x v="1"/>
    <x v="0"/>
    <n v="4"/>
    <n v="3184"/>
    <n v="478.27"/>
  </r>
  <r>
    <x v="892"/>
    <x v="0"/>
    <x v="0"/>
    <x v="2"/>
    <n v="5"/>
    <n v="3385"/>
    <n v="774.86"/>
  </r>
  <r>
    <x v="893"/>
    <x v="6"/>
    <x v="1"/>
    <x v="0"/>
    <n v="1"/>
    <n v="59"/>
    <n v="10.32"/>
  </r>
  <r>
    <x v="463"/>
    <x v="6"/>
    <x v="1"/>
    <x v="2"/>
    <n v="8"/>
    <n v="5976"/>
    <n v="1016.99"/>
  </r>
  <r>
    <x v="894"/>
    <x v="1"/>
    <x v="1"/>
    <x v="3"/>
    <n v="3"/>
    <n v="1791"/>
    <n v="122.5"/>
  </r>
  <r>
    <x v="616"/>
    <x v="5"/>
    <x v="2"/>
    <x v="3"/>
    <n v="2"/>
    <n v="1644"/>
    <n v="189.32"/>
  </r>
  <r>
    <x v="432"/>
    <x v="2"/>
    <x v="2"/>
    <x v="3"/>
    <n v="8"/>
    <n v="6584"/>
    <n v="544.62"/>
  </r>
  <r>
    <x v="474"/>
    <x v="4"/>
    <x v="1"/>
    <x v="1"/>
    <n v="5"/>
    <n v="1620"/>
    <n v="325.87"/>
  </r>
  <r>
    <x v="895"/>
    <x v="1"/>
    <x v="1"/>
    <x v="3"/>
    <n v="9"/>
    <n v="2736"/>
    <n v="407.22"/>
  </r>
  <r>
    <x v="896"/>
    <x v="6"/>
    <x v="1"/>
    <x v="2"/>
    <n v="4"/>
    <n v="1064"/>
    <n v="274.47000000000003"/>
  </r>
  <r>
    <x v="113"/>
    <x v="3"/>
    <x v="2"/>
    <x v="2"/>
    <n v="7"/>
    <n v="2667"/>
    <n v="363.5"/>
  </r>
  <r>
    <x v="897"/>
    <x v="4"/>
    <x v="1"/>
    <x v="2"/>
    <n v="3"/>
    <n v="735"/>
    <n v="217.79"/>
  </r>
  <r>
    <x v="643"/>
    <x v="9"/>
    <x v="2"/>
    <x v="1"/>
    <n v="1"/>
    <n v="58"/>
    <n v="11.25"/>
  </r>
  <r>
    <x v="526"/>
    <x v="3"/>
    <x v="2"/>
    <x v="2"/>
    <n v="7"/>
    <n v="3136"/>
    <n v="850.3"/>
  </r>
  <r>
    <x v="652"/>
    <x v="1"/>
    <x v="1"/>
    <x v="1"/>
    <n v="4"/>
    <n v="3936"/>
    <n v="374.34"/>
  </r>
  <r>
    <x v="457"/>
    <x v="7"/>
    <x v="2"/>
    <x v="1"/>
    <n v="9"/>
    <n v="6102"/>
    <n v="947.91"/>
  </r>
  <r>
    <x v="432"/>
    <x v="7"/>
    <x v="2"/>
    <x v="0"/>
    <n v="8"/>
    <n v="9408"/>
    <n v="552.44000000000005"/>
  </r>
  <r>
    <x v="91"/>
    <x v="1"/>
    <x v="1"/>
    <x v="2"/>
    <n v="9"/>
    <n v="7875"/>
    <n v="1243.56"/>
  </r>
  <r>
    <x v="224"/>
    <x v="8"/>
    <x v="1"/>
    <x v="0"/>
    <n v="9"/>
    <n v="9900"/>
    <n v="576.79999999999995"/>
  </r>
  <r>
    <x v="898"/>
    <x v="8"/>
    <x v="1"/>
    <x v="0"/>
    <n v="2"/>
    <n v="430"/>
    <n v="114.91"/>
  </r>
  <r>
    <x v="796"/>
    <x v="1"/>
    <x v="1"/>
    <x v="2"/>
    <n v="3"/>
    <n v="813"/>
    <n v="238.1"/>
  </r>
  <r>
    <x v="644"/>
    <x v="3"/>
    <x v="2"/>
    <x v="2"/>
    <n v="4"/>
    <n v="4176"/>
    <n v="980.11"/>
  </r>
  <r>
    <x v="368"/>
    <x v="3"/>
    <x v="2"/>
    <x v="2"/>
    <n v="4"/>
    <n v="3084"/>
    <n v="348.38"/>
  </r>
  <r>
    <x v="133"/>
    <x v="1"/>
    <x v="1"/>
    <x v="3"/>
    <n v="7"/>
    <n v="8008"/>
    <n v="1593.65"/>
  </r>
  <r>
    <x v="585"/>
    <x v="5"/>
    <x v="2"/>
    <x v="2"/>
    <n v="4"/>
    <n v="4608"/>
    <n v="963.5"/>
  </r>
  <r>
    <x v="821"/>
    <x v="4"/>
    <x v="1"/>
    <x v="3"/>
    <n v="4"/>
    <n v="4356"/>
    <n v="614.62"/>
  </r>
  <r>
    <x v="339"/>
    <x v="0"/>
    <x v="0"/>
    <x v="2"/>
    <n v="1"/>
    <n v="566"/>
    <n v="169.17"/>
  </r>
  <r>
    <x v="899"/>
    <x v="9"/>
    <x v="2"/>
    <x v="1"/>
    <n v="7"/>
    <n v="945"/>
    <n v="75.209999999999994"/>
  </r>
  <r>
    <x v="900"/>
    <x v="5"/>
    <x v="2"/>
    <x v="0"/>
    <n v="4"/>
    <n v="2200"/>
    <n v="484.33"/>
  </r>
  <r>
    <x v="773"/>
    <x v="1"/>
    <x v="1"/>
    <x v="0"/>
    <n v="1"/>
    <n v="746"/>
    <n v="131.25"/>
  </r>
  <r>
    <x v="486"/>
    <x v="6"/>
    <x v="1"/>
    <x v="1"/>
    <n v="5"/>
    <n v="3505"/>
    <n v="678.18"/>
  </r>
  <r>
    <x v="603"/>
    <x v="6"/>
    <x v="1"/>
    <x v="1"/>
    <n v="5"/>
    <n v="4795"/>
    <n v="819.12"/>
  </r>
  <r>
    <x v="836"/>
    <x v="6"/>
    <x v="1"/>
    <x v="0"/>
    <n v="5"/>
    <n v="4590"/>
    <n v="650.04999999999995"/>
  </r>
  <r>
    <x v="34"/>
    <x v="6"/>
    <x v="1"/>
    <x v="0"/>
    <n v="4"/>
    <n v="2092"/>
    <n v="467.02"/>
  </r>
  <r>
    <x v="321"/>
    <x v="1"/>
    <x v="1"/>
    <x v="2"/>
    <n v="8"/>
    <n v="3568"/>
    <n v="334.13"/>
  </r>
  <r>
    <x v="863"/>
    <x v="7"/>
    <x v="2"/>
    <x v="3"/>
    <n v="9"/>
    <n v="10404"/>
    <n v="2028.21"/>
  </r>
  <r>
    <x v="901"/>
    <x v="0"/>
    <x v="0"/>
    <x v="2"/>
    <n v="9"/>
    <n v="7029"/>
    <n v="1005.58"/>
  </r>
  <r>
    <x v="853"/>
    <x v="9"/>
    <x v="2"/>
    <x v="3"/>
    <n v="8"/>
    <n v="664"/>
    <n v="126.6"/>
  </r>
  <r>
    <x v="211"/>
    <x v="2"/>
    <x v="2"/>
    <x v="3"/>
    <n v="3"/>
    <n v="1923"/>
    <n v="274"/>
  </r>
  <r>
    <x v="860"/>
    <x v="0"/>
    <x v="0"/>
    <x v="3"/>
    <n v="7"/>
    <n v="2471"/>
    <n v="566.51"/>
  </r>
  <r>
    <x v="456"/>
    <x v="7"/>
    <x v="2"/>
    <x v="0"/>
    <n v="2"/>
    <n v="258"/>
    <n v="64.12"/>
  </r>
  <r>
    <x v="774"/>
    <x v="5"/>
    <x v="2"/>
    <x v="1"/>
    <n v="9"/>
    <n v="1134"/>
    <n v="267.26"/>
  </r>
  <r>
    <x v="902"/>
    <x v="4"/>
    <x v="1"/>
    <x v="1"/>
    <n v="5"/>
    <n v="855"/>
    <n v="238.83"/>
  </r>
  <r>
    <x v="549"/>
    <x v="5"/>
    <x v="2"/>
    <x v="3"/>
    <n v="9"/>
    <n v="3231"/>
    <n v="670.85"/>
  </r>
  <r>
    <x v="640"/>
    <x v="2"/>
    <x v="2"/>
    <x v="2"/>
    <n v="7"/>
    <n v="3591"/>
    <n v="266.58999999999997"/>
  </r>
  <r>
    <x v="13"/>
    <x v="3"/>
    <x v="2"/>
    <x v="1"/>
    <n v="2"/>
    <n v="254"/>
    <n v="20.48"/>
  </r>
  <r>
    <x v="278"/>
    <x v="7"/>
    <x v="2"/>
    <x v="2"/>
    <n v="5"/>
    <n v="5930"/>
    <n v="1193.32"/>
  </r>
  <r>
    <x v="903"/>
    <x v="4"/>
    <x v="1"/>
    <x v="3"/>
    <n v="2"/>
    <n v="1344"/>
    <n v="297.99"/>
  </r>
  <r>
    <x v="904"/>
    <x v="9"/>
    <x v="2"/>
    <x v="1"/>
    <n v="1"/>
    <n v="920"/>
    <n v="98.31"/>
  </r>
  <r>
    <x v="905"/>
    <x v="0"/>
    <x v="0"/>
    <x v="0"/>
    <n v="9"/>
    <n v="5454"/>
    <n v="385.51"/>
  </r>
  <r>
    <x v="906"/>
    <x v="9"/>
    <x v="2"/>
    <x v="3"/>
    <n v="8"/>
    <n v="9512"/>
    <n v="663.23"/>
  </r>
  <r>
    <x v="304"/>
    <x v="1"/>
    <x v="1"/>
    <x v="0"/>
    <n v="4"/>
    <n v="2972"/>
    <n v="827.46"/>
  </r>
  <r>
    <x v="324"/>
    <x v="5"/>
    <x v="2"/>
    <x v="3"/>
    <n v="3"/>
    <n v="3360"/>
    <n v="465.02"/>
  </r>
  <r>
    <x v="781"/>
    <x v="2"/>
    <x v="2"/>
    <x v="3"/>
    <n v="4"/>
    <n v="1004"/>
    <n v="240.13"/>
  </r>
  <r>
    <x v="366"/>
    <x v="4"/>
    <x v="1"/>
    <x v="3"/>
    <n v="2"/>
    <n v="1944"/>
    <n v="332.55"/>
  </r>
  <r>
    <x v="796"/>
    <x v="6"/>
    <x v="1"/>
    <x v="1"/>
    <n v="5"/>
    <n v="5055"/>
    <n v="1200.0899999999999"/>
  </r>
  <r>
    <x v="222"/>
    <x v="5"/>
    <x v="2"/>
    <x v="3"/>
    <n v="2"/>
    <n v="128"/>
    <n v="8.33"/>
  </r>
  <r>
    <x v="811"/>
    <x v="7"/>
    <x v="2"/>
    <x v="1"/>
    <n v="3"/>
    <n v="633"/>
    <n v="163.03"/>
  </r>
  <r>
    <x v="91"/>
    <x v="0"/>
    <x v="0"/>
    <x v="2"/>
    <n v="3"/>
    <n v="2523"/>
    <n v="506.7"/>
  </r>
  <r>
    <x v="577"/>
    <x v="0"/>
    <x v="0"/>
    <x v="3"/>
    <n v="1"/>
    <n v="196"/>
    <n v="39.6"/>
  </r>
  <r>
    <x v="691"/>
    <x v="0"/>
    <x v="0"/>
    <x v="1"/>
    <n v="9"/>
    <n v="4212"/>
    <n v="552.96"/>
  </r>
  <r>
    <x v="594"/>
    <x v="6"/>
    <x v="1"/>
    <x v="0"/>
    <n v="1"/>
    <n v="63"/>
    <n v="17.29"/>
  </r>
  <r>
    <x v="907"/>
    <x v="1"/>
    <x v="1"/>
    <x v="2"/>
    <n v="8"/>
    <n v="2752"/>
    <n v="394.66"/>
  </r>
  <r>
    <x v="599"/>
    <x v="1"/>
    <x v="1"/>
    <x v="3"/>
    <n v="3"/>
    <n v="1989"/>
    <n v="419.61"/>
  </r>
  <r>
    <x v="811"/>
    <x v="9"/>
    <x v="2"/>
    <x v="1"/>
    <n v="8"/>
    <n v="8032"/>
    <n v="466.19"/>
  </r>
  <r>
    <x v="633"/>
    <x v="2"/>
    <x v="2"/>
    <x v="2"/>
    <n v="6"/>
    <n v="3702"/>
    <n v="407.34"/>
  </r>
  <r>
    <x v="461"/>
    <x v="5"/>
    <x v="2"/>
    <x v="1"/>
    <n v="8"/>
    <n v="456"/>
    <n v="90.24"/>
  </r>
  <r>
    <x v="291"/>
    <x v="3"/>
    <x v="2"/>
    <x v="3"/>
    <n v="7"/>
    <n v="5355"/>
    <n v="1143.1600000000001"/>
  </r>
  <r>
    <x v="117"/>
    <x v="3"/>
    <x v="2"/>
    <x v="3"/>
    <n v="1"/>
    <n v="972"/>
    <n v="261.91000000000003"/>
  </r>
  <r>
    <x v="449"/>
    <x v="4"/>
    <x v="1"/>
    <x v="2"/>
    <n v="5"/>
    <n v="3290"/>
    <n v="797.82"/>
  </r>
  <r>
    <x v="167"/>
    <x v="9"/>
    <x v="2"/>
    <x v="1"/>
    <n v="1"/>
    <n v="735"/>
    <n v="139.31"/>
  </r>
  <r>
    <x v="908"/>
    <x v="2"/>
    <x v="2"/>
    <x v="0"/>
    <n v="3"/>
    <n v="3336"/>
    <n v="798.26"/>
  </r>
  <r>
    <x v="716"/>
    <x v="8"/>
    <x v="1"/>
    <x v="3"/>
    <n v="3"/>
    <n v="2082"/>
    <n v="346.53"/>
  </r>
  <r>
    <x v="361"/>
    <x v="8"/>
    <x v="1"/>
    <x v="1"/>
    <n v="2"/>
    <n v="1340"/>
    <n v="129.88999999999999"/>
  </r>
  <r>
    <x v="576"/>
    <x v="9"/>
    <x v="2"/>
    <x v="1"/>
    <n v="5"/>
    <n v="1160"/>
    <n v="227.13"/>
  </r>
  <r>
    <x v="769"/>
    <x v="6"/>
    <x v="1"/>
    <x v="1"/>
    <n v="4"/>
    <n v="1272"/>
    <n v="299.83999999999997"/>
  </r>
  <r>
    <x v="7"/>
    <x v="0"/>
    <x v="0"/>
    <x v="3"/>
    <n v="3"/>
    <n v="2817"/>
    <n v="588.47"/>
  </r>
  <r>
    <x v="20"/>
    <x v="6"/>
    <x v="1"/>
    <x v="1"/>
    <n v="3"/>
    <n v="1464"/>
    <n v="264.67"/>
  </r>
  <r>
    <x v="694"/>
    <x v="4"/>
    <x v="1"/>
    <x v="3"/>
    <n v="1"/>
    <n v="307"/>
    <n v="60.51"/>
  </r>
  <r>
    <x v="430"/>
    <x v="2"/>
    <x v="2"/>
    <x v="3"/>
    <n v="6"/>
    <n v="5706"/>
    <n v="1306.92"/>
  </r>
  <r>
    <x v="538"/>
    <x v="4"/>
    <x v="1"/>
    <x v="0"/>
    <n v="1"/>
    <n v="1112"/>
    <n v="100.47"/>
  </r>
  <r>
    <x v="160"/>
    <x v="8"/>
    <x v="1"/>
    <x v="3"/>
    <n v="1"/>
    <n v="1147"/>
    <n v="133.47999999999999"/>
  </r>
  <r>
    <x v="17"/>
    <x v="9"/>
    <x v="2"/>
    <x v="0"/>
    <n v="2"/>
    <n v="330"/>
    <n v="66.569999999999993"/>
  </r>
  <r>
    <x v="865"/>
    <x v="6"/>
    <x v="1"/>
    <x v="0"/>
    <n v="4"/>
    <n v="2176"/>
    <n v="250.89"/>
  </r>
  <r>
    <x v="120"/>
    <x v="4"/>
    <x v="1"/>
    <x v="2"/>
    <n v="7"/>
    <n v="7616"/>
    <n v="1317.79"/>
  </r>
  <r>
    <x v="909"/>
    <x v="0"/>
    <x v="0"/>
    <x v="0"/>
    <n v="1"/>
    <n v="1091"/>
    <n v="258.3"/>
  </r>
  <r>
    <x v="840"/>
    <x v="2"/>
    <x v="2"/>
    <x v="1"/>
    <n v="2"/>
    <n v="1026"/>
    <n v="279.76"/>
  </r>
  <r>
    <x v="686"/>
    <x v="2"/>
    <x v="2"/>
    <x v="3"/>
    <n v="2"/>
    <n v="210"/>
    <n v="42.04"/>
  </r>
  <r>
    <x v="816"/>
    <x v="0"/>
    <x v="0"/>
    <x v="0"/>
    <n v="2"/>
    <n v="180"/>
    <n v="10.78"/>
  </r>
  <r>
    <x v="393"/>
    <x v="2"/>
    <x v="2"/>
    <x v="0"/>
    <n v="4"/>
    <n v="380"/>
    <n v="72.88"/>
  </r>
  <r>
    <x v="162"/>
    <x v="6"/>
    <x v="1"/>
    <x v="3"/>
    <n v="8"/>
    <n v="7664"/>
    <n v="1580.55"/>
  </r>
  <r>
    <x v="418"/>
    <x v="7"/>
    <x v="2"/>
    <x v="1"/>
    <n v="8"/>
    <n v="6056"/>
    <n v="1029.9000000000001"/>
  </r>
  <r>
    <x v="245"/>
    <x v="1"/>
    <x v="1"/>
    <x v="0"/>
    <n v="6"/>
    <n v="606"/>
    <n v="104.52"/>
  </r>
  <r>
    <x v="301"/>
    <x v="6"/>
    <x v="1"/>
    <x v="0"/>
    <n v="3"/>
    <n v="750"/>
    <n v="193.86"/>
  </r>
  <r>
    <x v="731"/>
    <x v="0"/>
    <x v="0"/>
    <x v="1"/>
    <n v="2"/>
    <n v="1218"/>
    <n v="218.88"/>
  </r>
  <r>
    <x v="99"/>
    <x v="9"/>
    <x v="2"/>
    <x v="3"/>
    <n v="2"/>
    <n v="2162"/>
    <n v="355.45"/>
  </r>
  <r>
    <x v="420"/>
    <x v="4"/>
    <x v="1"/>
    <x v="1"/>
    <n v="9"/>
    <n v="2223"/>
    <n v="347.01"/>
  </r>
  <r>
    <x v="910"/>
    <x v="7"/>
    <x v="2"/>
    <x v="3"/>
    <n v="7"/>
    <n v="4452"/>
    <n v="920.05"/>
  </r>
  <r>
    <x v="89"/>
    <x v="0"/>
    <x v="0"/>
    <x v="3"/>
    <n v="1"/>
    <n v="184"/>
    <n v="50.19"/>
  </r>
  <r>
    <x v="911"/>
    <x v="4"/>
    <x v="1"/>
    <x v="0"/>
    <n v="3"/>
    <n v="288"/>
    <n v="77.38"/>
  </r>
  <r>
    <x v="450"/>
    <x v="3"/>
    <x v="2"/>
    <x v="3"/>
    <n v="2"/>
    <n v="834"/>
    <n v="150.12"/>
  </r>
  <r>
    <x v="500"/>
    <x v="8"/>
    <x v="1"/>
    <x v="1"/>
    <n v="5"/>
    <n v="4025"/>
    <n v="923.17"/>
  </r>
  <r>
    <x v="912"/>
    <x v="4"/>
    <x v="1"/>
    <x v="3"/>
    <n v="7"/>
    <n v="4732"/>
    <n v="1084.28"/>
  </r>
  <r>
    <x v="913"/>
    <x v="4"/>
    <x v="1"/>
    <x v="3"/>
    <n v="5"/>
    <n v="4025"/>
    <n v="407.72"/>
  </r>
  <r>
    <x v="160"/>
    <x v="0"/>
    <x v="0"/>
    <x v="2"/>
    <n v="8"/>
    <n v="2416"/>
    <n v="500.93"/>
  </r>
  <r>
    <x v="3"/>
    <x v="2"/>
    <x v="2"/>
    <x v="0"/>
    <n v="7"/>
    <n v="1897"/>
    <n v="524.69000000000005"/>
  </r>
  <r>
    <x v="812"/>
    <x v="1"/>
    <x v="1"/>
    <x v="1"/>
    <n v="4"/>
    <n v="840"/>
    <n v="190.13"/>
  </r>
  <r>
    <x v="270"/>
    <x v="1"/>
    <x v="1"/>
    <x v="0"/>
    <n v="8"/>
    <n v="6600"/>
    <n v="360.45"/>
  </r>
  <r>
    <x v="199"/>
    <x v="9"/>
    <x v="2"/>
    <x v="3"/>
    <n v="2"/>
    <n v="2362"/>
    <n v="342.27"/>
  </r>
  <r>
    <x v="649"/>
    <x v="4"/>
    <x v="1"/>
    <x v="2"/>
    <n v="6"/>
    <n v="2958"/>
    <n v="577.27"/>
  </r>
  <r>
    <x v="122"/>
    <x v="2"/>
    <x v="2"/>
    <x v="1"/>
    <n v="1"/>
    <n v="477"/>
    <n v="56.49"/>
  </r>
  <r>
    <x v="824"/>
    <x v="8"/>
    <x v="1"/>
    <x v="0"/>
    <n v="3"/>
    <n v="942"/>
    <n v="84.8"/>
  </r>
  <r>
    <x v="304"/>
    <x v="3"/>
    <x v="2"/>
    <x v="1"/>
    <n v="2"/>
    <n v="2084"/>
    <n v="586.72"/>
  </r>
  <r>
    <x v="173"/>
    <x v="2"/>
    <x v="2"/>
    <x v="3"/>
    <n v="6"/>
    <n v="4584"/>
    <n v="473.37"/>
  </r>
  <r>
    <x v="670"/>
    <x v="0"/>
    <x v="0"/>
    <x v="1"/>
    <n v="1"/>
    <n v="1118"/>
    <n v="319.27999999999997"/>
  </r>
  <r>
    <x v="261"/>
    <x v="1"/>
    <x v="1"/>
    <x v="0"/>
    <n v="9"/>
    <n v="4005"/>
    <n v="652.15"/>
  </r>
  <r>
    <x v="117"/>
    <x v="5"/>
    <x v="2"/>
    <x v="1"/>
    <n v="5"/>
    <n v="4610"/>
    <n v="1293.3699999999999"/>
  </r>
  <r>
    <x v="859"/>
    <x v="8"/>
    <x v="1"/>
    <x v="2"/>
    <n v="1"/>
    <n v="551"/>
    <n v="86.84"/>
  </r>
  <r>
    <x v="87"/>
    <x v="0"/>
    <x v="0"/>
    <x v="3"/>
    <n v="1"/>
    <n v="75"/>
    <n v="19.29"/>
  </r>
  <r>
    <x v="453"/>
    <x v="1"/>
    <x v="1"/>
    <x v="2"/>
    <n v="6"/>
    <n v="6576"/>
    <n v="1899.67"/>
  </r>
  <r>
    <x v="99"/>
    <x v="0"/>
    <x v="0"/>
    <x v="0"/>
    <n v="6"/>
    <n v="6432"/>
    <n v="1410.52"/>
  </r>
  <r>
    <x v="358"/>
    <x v="4"/>
    <x v="1"/>
    <x v="2"/>
    <n v="7"/>
    <n v="7763"/>
    <n v="1444.27"/>
  </r>
  <r>
    <x v="578"/>
    <x v="6"/>
    <x v="1"/>
    <x v="1"/>
    <n v="7"/>
    <n v="2240"/>
    <n v="622.29"/>
  </r>
  <r>
    <x v="41"/>
    <x v="4"/>
    <x v="1"/>
    <x v="1"/>
    <n v="6"/>
    <n v="5298"/>
    <n v="1209.8800000000001"/>
  </r>
  <r>
    <x v="160"/>
    <x v="5"/>
    <x v="2"/>
    <x v="0"/>
    <n v="2"/>
    <n v="116"/>
    <n v="32.270000000000003"/>
  </r>
  <r>
    <x v="914"/>
    <x v="2"/>
    <x v="2"/>
    <x v="1"/>
    <n v="8"/>
    <n v="6728"/>
    <n v="1140.19"/>
  </r>
  <r>
    <x v="899"/>
    <x v="6"/>
    <x v="1"/>
    <x v="0"/>
    <n v="5"/>
    <n v="490"/>
    <n v="55.59"/>
  </r>
  <r>
    <x v="611"/>
    <x v="6"/>
    <x v="1"/>
    <x v="0"/>
    <n v="7"/>
    <n v="2765"/>
    <n v="699.86"/>
  </r>
  <r>
    <x v="915"/>
    <x v="7"/>
    <x v="2"/>
    <x v="3"/>
    <n v="8"/>
    <n v="2680"/>
    <n v="598.97"/>
  </r>
  <r>
    <x v="372"/>
    <x v="3"/>
    <x v="2"/>
    <x v="1"/>
    <n v="2"/>
    <n v="2174"/>
    <n v="335.37"/>
  </r>
  <r>
    <x v="896"/>
    <x v="6"/>
    <x v="1"/>
    <x v="0"/>
    <n v="9"/>
    <n v="5562"/>
    <n v="1258.1199999999999"/>
  </r>
  <r>
    <x v="11"/>
    <x v="7"/>
    <x v="2"/>
    <x v="1"/>
    <n v="8"/>
    <n v="9208"/>
    <n v="2595.33"/>
  </r>
  <r>
    <x v="557"/>
    <x v="7"/>
    <x v="2"/>
    <x v="3"/>
    <n v="4"/>
    <n v="4512"/>
    <n v="546.71"/>
  </r>
  <r>
    <x v="117"/>
    <x v="3"/>
    <x v="2"/>
    <x v="3"/>
    <n v="9"/>
    <n v="7974"/>
    <n v="1965.96"/>
  </r>
  <r>
    <x v="881"/>
    <x v="6"/>
    <x v="1"/>
    <x v="1"/>
    <n v="6"/>
    <n v="4944"/>
    <n v="1335.04"/>
  </r>
  <r>
    <x v="120"/>
    <x v="0"/>
    <x v="0"/>
    <x v="2"/>
    <n v="3"/>
    <n v="1611"/>
    <n v="234.84"/>
  </r>
  <r>
    <x v="528"/>
    <x v="5"/>
    <x v="2"/>
    <x v="3"/>
    <n v="9"/>
    <n v="4599"/>
    <n v="618.89"/>
  </r>
  <r>
    <x v="726"/>
    <x v="9"/>
    <x v="2"/>
    <x v="1"/>
    <n v="6"/>
    <n v="4380"/>
    <n v="419.3"/>
  </r>
  <r>
    <x v="836"/>
    <x v="4"/>
    <x v="1"/>
    <x v="2"/>
    <n v="2"/>
    <n v="2376"/>
    <n v="580.26"/>
  </r>
  <r>
    <x v="564"/>
    <x v="6"/>
    <x v="1"/>
    <x v="2"/>
    <n v="9"/>
    <n v="6588"/>
    <n v="1800.9"/>
  </r>
  <r>
    <x v="443"/>
    <x v="1"/>
    <x v="1"/>
    <x v="1"/>
    <n v="5"/>
    <n v="3745"/>
    <n v="720.08"/>
  </r>
  <r>
    <x v="316"/>
    <x v="3"/>
    <x v="2"/>
    <x v="0"/>
    <n v="5"/>
    <n v="5305"/>
    <n v="1389.25"/>
  </r>
  <r>
    <x v="130"/>
    <x v="2"/>
    <x v="2"/>
    <x v="0"/>
    <n v="8"/>
    <n v="1608"/>
    <n v="332.12"/>
  </r>
  <r>
    <x v="361"/>
    <x v="6"/>
    <x v="1"/>
    <x v="1"/>
    <n v="9"/>
    <n v="4977"/>
    <n v="745.81"/>
  </r>
  <r>
    <x v="460"/>
    <x v="7"/>
    <x v="2"/>
    <x v="1"/>
    <n v="7"/>
    <n v="4529"/>
    <n v="273.97000000000003"/>
  </r>
  <r>
    <x v="404"/>
    <x v="3"/>
    <x v="2"/>
    <x v="3"/>
    <n v="7"/>
    <n v="4690"/>
    <n v="319.42"/>
  </r>
  <r>
    <x v="916"/>
    <x v="8"/>
    <x v="1"/>
    <x v="1"/>
    <n v="4"/>
    <n v="2424"/>
    <n v="544.07000000000005"/>
  </r>
  <r>
    <x v="492"/>
    <x v="8"/>
    <x v="1"/>
    <x v="0"/>
    <n v="6"/>
    <n v="3594"/>
    <n v="610.77"/>
  </r>
  <r>
    <x v="806"/>
    <x v="8"/>
    <x v="1"/>
    <x v="0"/>
    <n v="7"/>
    <n v="3962"/>
    <n v="491.9"/>
  </r>
  <r>
    <x v="685"/>
    <x v="3"/>
    <x v="2"/>
    <x v="1"/>
    <n v="2"/>
    <n v="944"/>
    <n v="149.38"/>
  </r>
  <r>
    <x v="917"/>
    <x v="5"/>
    <x v="2"/>
    <x v="3"/>
    <n v="6"/>
    <n v="6792"/>
    <n v="1787.97"/>
  </r>
  <r>
    <x v="536"/>
    <x v="2"/>
    <x v="2"/>
    <x v="0"/>
    <n v="7"/>
    <n v="6804"/>
    <n v="1383.81"/>
  </r>
  <r>
    <x v="775"/>
    <x v="3"/>
    <x v="2"/>
    <x v="2"/>
    <n v="6"/>
    <n v="816"/>
    <n v="98.75"/>
  </r>
  <r>
    <x v="637"/>
    <x v="6"/>
    <x v="1"/>
    <x v="0"/>
    <n v="6"/>
    <n v="5916"/>
    <n v="544.59"/>
  </r>
  <r>
    <x v="669"/>
    <x v="1"/>
    <x v="1"/>
    <x v="2"/>
    <n v="5"/>
    <n v="5730"/>
    <n v="310.58"/>
  </r>
  <r>
    <x v="468"/>
    <x v="4"/>
    <x v="1"/>
    <x v="1"/>
    <n v="7"/>
    <n v="8288"/>
    <n v="785.54"/>
  </r>
  <r>
    <x v="839"/>
    <x v="4"/>
    <x v="1"/>
    <x v="2"/>
    <n v="2"/>
    <n v="2046"/>
    <n v="394.93"/>
  </r>
  <r>
    <x v="918"/>
    <x v="2"/>
    <x v="2"/>
    <x v="1"/>
    <n v="9"/>
    <n v="5031"/>
    <n v="1149.48"/>
  </r>
  <r>
    <x v="149"/>
    <x v="8"/>
    <x v="1"/>
    <x v="2"/>
    <n v="9"/>
    <n v="1764"/>
    <n v="417.95"/>
  </r>
  <r>
    <x v="692"/>
    <x v="9"/>
    <x v="2"/>
    <x v="2"/>
    <n v="8"/>
    <n v="1880"/>
    <n v="486.88"/>
  </r>
  <r>
    <x v="132"/>
    <x v="5"/>
    <x v="2"/>
    <x v="3"/>
    <n v="2"/>
    <n v="200"/>
    <n v="10.45"/>
  </r>
  <r>
    <x v="789"/>
    <x v="1"/>
    <x v="1"/>
    <x v="1"/>
    <n v="3"/>
    <n v="2688"/>
    <n v="476.77"/>
  </r>
  <r>
    <x v="622"/>
    <x v="9"/>
    <x v="2"/>
    <x v="3"/>
    <n v="4"/>
    <n v="3216"/>
    <n v="213.81"/>
  </r>
  <r>
    <x v="12"/>
    <x v="3"/>
    <x v="2"/>
    <x v="1"/>
    <n v="8"/>
    <n v="8440"/>
    <n v="1504.18"/>
  </r>
  <r>
    <x v="395"/>
    <x v="2"/>
    <x v="2"/>
    <x v="1"/>
    <n v="7"/>
    <n v="1582"/>
    <n v="208.42"/>
  </r>
  <r>
    <x v="681"/>
    <x v="9"/>
    <x v="2"/>
    <x v="0"/>
    <n v="1"/>
    <n v="58"/>
    <n v="10.79"/>
  </r>
  <r>
    <x v="627"/>
    <x v="5"/>
    <x v="2"/>
    <x v="3"/>
    <n v="8"/>
    <n v="608"/>
    <n v="163.18"/>
  </r>
  <r>
    <x v="422"/>
    <x v="7"/>
    <x v="2"/>
    <x v="0"/>
    <n v="3"/>
    <n v="183"/>
    <n v="41.82"/>
  </r>
  <r>
    <x v="766"/>
    <x v="6"/>
    <x v="1"/>
    <x v="3"/>
    <n v="5"/>
    <n v="3105"/>
    <n v="744.26"/>
  </r>
  <r>
    <x v="129"/>
    <x v="6"/>
    <x v="1"/>
    <x v="0"/>
    <n v="5"/>
    <n v="2450"/>
    <n v="485.18"/>
  </r>
  <r>
    <x v="86"/>
    <x v="9"/>
    <x v="2"/>
    <x v="0"/>
    <n v="3"/>
    <n v="3024"/>
    <n v="622.29"/>
  </r>
  <r>
    <x v="157"/>
    <x v="0"/>
    <x v="0"/>
    <x v="1"/>
    <n v="4"/>
    <n v="3856"/>
    <n v="747.79"/>
  </r>
  <r>
    <x v="919"/>
    <x v="8"/>
    <x v="1"/>
    <x v="3"/>
    <n v="7"/>
    <n v="532"/>
    <n v="121.03"/>
  </r>
  <r>
    <x v="817"/>
    <x v="7"/>
    <x v="2"/>
    <x v="2"/>
    <n v="4"/>
    <n v="3152"/>
    <n v="307.62"/>
  </r>
  <r>
    <x v="10"/>
    <x v="6"/>
    <x v="1"/>
    <x v="1"/>
    <n v="9"/>
    <n v="8586"/>
    <n v="1555.82"/>
  </r>
  <r>
    <x v="30"/>
    <x v="6"/>
    <x v="1"/>
    <x v="2"/>
    <n v="2"/>
    <n v="1046"/>
    <n v="273.38"/>
  </r>
  <r>
    <x v="483"/>
    <x v="2"/>
    <x v="2"/>
    <x v="3"/>
    <n v="4"/>
    <n v="3452"/>
    <n v="560.30999999999995"/>
  </r>
  <r>
    <x v="655"/>
    <x v="6"/>
    <x v="1"/>
    <x v="3"/>
    <n v="4"/>
    <n v="2368"/>
    <n v="361.02"/>
  </r>
  <r>
    <x v="199"/>
    <x v="3"/>
    <x v="2"/>
    <x v="2"/>
    <n v="2"/>
    <n v="1924"/>
    <n v="422.25"/>
  </r>
  <r>
    <x v="399"/>
    <x v="9"/>
    <x v="2"/>
    <x v="3"/>
    <n v="5"/>
    <n v="4580"/>
    <n v="1148.06"/>
  </r>
  <r>
    <x v="795"/>
    <x v="4"/>
    <x v="1"/>
    <x v="1"/>
    <n v="5"/>
    <n v="3735"/>
    <n v="423.94"/>
  </r>
  <r>
    <x v="920"/>
    <x v="6"/>
    <x v="1"/>
    <x v="0"/>
    <n v="4"/>
    <n v="2476"/>
    <n v="417.16"/>
  </r>
  <r>
    <x v="442"/>
    <x v="9"/>
    <x v="2"/>
    <x v="2"/>
    <n v="2"/>
    <n v="162"/>
    <n v="16.510000000000002"/>
  </r>
  <r>
    <x v="509"/>
    <x v="0"/>
    <x v="0"/>
    <x v="3"/>
    <n v="3"/>
    <n v="258"/>
    <n v="38.03"/>
  </r>
  <r>
    <x v="120"/>
    <x v="8"/>
    <x v="1"/>
    <x v="1"/>
    <n v="4"/>
    <n v="3524"/>
    <n v="998.29"/>
  </r>
  <r>
    <x v="748"/>
    <x v="5"/>
    <x v="2"/>
    <x v="2"/>
    <n v="8"/>
    <n v="6184"/>
    <n v="1796.9"/>
  </r>
  <r>
    <x v="401"/>
    <x v="6"/>
    <x v="1"/>
    <x v="3"/>
    <n v="6"/>
    <n v="3750"/>
    <n v="645.69000000000005"/>
  </r>
  <r>
    <x v="102"/>
    <x v="1"/>
    <x v="1"/>
    <x v="2"/>
    <n v="5"/>
    <n v="1465"/>
    <n v="424.64"/>
  </r>
  <r>
    <x v="594"/>
    <x v="3"/>
    <x v="2"/>
    <x v="0"/>
    <n v="4"/>
    <n v="4480"/>
    <n v="412.05"/>
  </r>
  <r>
    <x v="544"/>
    <x v="9"/>
    <x v="2"/>
    <x v="0"/>
    <n v="8"/>
    <n v="1544"/>
    <n v="281.22000000000003"/>
  </r>
  <r>
    <x v="184"/>
    <x v="4"/>
    <x v="1"/>
    <x v="0"/>
    <n v="9"/>
    <n v="7974"/>
    <n v="1181.04"/>
  </r>
  <r>
    <x v="301"/>
    <x v="0"/>
    <x v="0"/>
    <x v="1"/>
    <n v="5"/>
    <n v="5920"/>
    <n v="1679.15"/>
  </r>
  <r>
    <x v="710"/>
    <x v="5"/>
    <x v="2"/>
    <x v="2"/>
    <n v="8"/>
    <n v="8792"/>
    <n v="2045.54"/>
  </r>
  <r>
    <x v="700"/>
    <x v="5"/>
    <x v="2"/>
    <x v="1"/>
    <n v="1"/>
    <n v="294"/>
    <n v="52.37"/>
  </r>
  <r>
    <x v="150"/>
    <x v="3"/>
    <x v="2"/>
    <x v="1"/>
    <n v="7"/>
    <n v="1169"/>
    <n v="264.37"/>
  </r>
  <r>
    <x v="921"/>
    <x v="3"/>
    <x v="2"/>
    <x v="3"/>
    <n v="8"/>
    <n v="9232"/>
    <n v="880.52"/>
  </r>
  <r>
    <x v="6"/>
    <x v="4"/>
    <x v="1"/>
    <x v="2"/>
    <n v="4"/>
    <n v="1396"/>
    <n v="135.47999999999999"/>
  </r>
  <r>
    <x v="203"/>
    <x v="3"/>
    <x v="2"/>
    <x v="0"/>
    <n v="9"/>
    <n v="10188"/>
    <n v="1408.18"/>
  </r>
  <r>
    <x v="922"/>
    <x v="6"/>
    <x v="1"/>
    <x v="3"/>
    <n v="2"/>
    <n v="222"/>
    <n v="23.65"/>
  </r>
  <r>
    <x v="840"/>
    <x v="6"/>
    <x v="1"/>
    <x v="3"/>
    <n v="2"/>
    <n v="1328"/>
    <n v="358.07"/>
  </r>
  <r>
    <x v="177"/>
    <x v="0"/>
    <x v="0"/>
    <x v="1"/>
    <n v="9"/>
    <n v="5085"/>
    <n v="488.63"/>
  </r>
  <r>
    <x v="923"/>
    <x v="1"/>
    <x v="1"/>
    <x v="3"/>
    <n v="3"/>
    <n v="1245"/>
    <n v="229.73"/>
  </r>
  <r>
    <x v="480"/>
    <x v="2"/>
    <x v="2"/>
    <x v="2"/>
    <n v="2"/>
    <n v="960"/>
    <n v="124.02"/>
  </r>
  <r>
    <x v="293"/>
    <x v="7"/>
    <x v="2"/>
    <x v="3"/>
    <n v="9"/>
    <n v="5553"/>
    <n v="329.79"/>
  </r>
  <r>
    <x v="593"/>
    <x v="8"/>
    <x v="1"/>
    <x v="0"/>
    <n v="2"/>
    <n v="1790"/>
    <n v="236.76"/>
  </r>
  <r>
    <x v="325"/>
    <x v="8"/>
    <x v="1"/>
    <x v="3"/>
    <n v="8"/>
    <n v="2712"/>
    <n v="247.84"/>
  </r>
  <r>
    <x v="274"/>
    <x v="9"/>
    <x v="2"/>
    <x v="0"/>
    <n v="1"/>
    <n v="632"/>
    <n v="89.14"/>
  </r>
  <r>
    <x v="555"/>
    <x v="4"/>
    <x v="1"/>
    <x v="2"/>
    <n v="8"/>
    <n v="4904"/>
    <n v="520.74"/>
  </r>
  <r>
    <x v="86"/>
    <x v="8"/>
    <x v="1"/>
    <x v="2"/>
    <n v="1"/>
    <n v="361"/>
    <n v="58.8"/>
  </r>
  <r>
    <x v="691"/>
    <x v="0"/>
    <x v="0"/>
    <x v="3"/>
    <n v="9"/>
    <n v="7290"/>
    <n v="841.07"/>
  </r>
  <r>
    <x v="729"/>
    <x v="5"/>
    <x v="2"/>
    <x v="2"/>
    <n v="4"/>
    <n v="2052"/>
    <n v="181.64"/>
  </r>
  <r>
    <x v="765"/>
    <x v="1"/>
    <x v="1"/>
    <x v="0"/>
    <n v="3"/>
    <n v="1842"/>
    <n v="112.85"/>
  </r>
  <r>
    <x v="216"/>
    <x v="1"/>
    <x v="1"/>
    <x v="0"/>
    <n v="9"/>
    <n v="10593"/>
    <n v="2488.69"/>
  </r>
  <r>
    <x v="905"/>
    <x v="3"/>
    <x v="2"/>
    <x v="2"/>
    <n v="6"/>
    <n v="1218"/>
    <n v="129.36000000000001"/>
  </r>
  <r>
    <x v="359"/>
    <x v="1"/>
    <x v="1"/>
    <x v="2"/>
    <n v="5"/>
    <n v="4240"/>
    <n v="426.41"/>
  </r>
  <r>
    <x v="774"/>
    <x v="8"/>
    <x v="1"/>
    <x v="1"/>
    <n v="2"/>
    <n v="226"/>
    <n v="38.520000000000003"/>
  </r>
  <r>
    <x v="219"/>
    <x v="3"/>
    <x v="2"/>
    <x v="1"/>
    <n v="6"/>
    <n v="5154"/>
    <n v="1072.8"/>
  </r>
  <r>
    <x v="924"/>
    <x v="1"/>
    <x v="1"/>
    <x v="0"/>
    <n v="6"/>
    <n v="1236"/>
    <n v="304.88"/>
  </r>
  <r>
    <x v="137"/>
    <x v="2"/>
    <x v="2"/>
    <x v="2"/>
    <n v="1"/>
    <n v="1179"/>
    <n v="159.41999999999999"/>
  </r>
  <r>
    <x v="343"/>
    <x v="0"/>
    <x v="0"/>
    <x v="3"/>
    <n v="5"/>
    <n v="2275"/>
    <n v="313.5"/>
  </r>
  <r>
    <x v="722"/>
    <x v="5"/>
    <x v="2"/>
    <x v="0"/>
    <n v="7"/>
    <n v="6188"/>
    <n v="1231.3"/>
  </r>
  <r>
    <x v="309"/>
    <x v="4"/>
    <x v="1"/>
    <x v="3"/>
    <n v="3"/>
    <n v="2946"/>
    <n v="666.99"/>
  </r>
  <r>
    <x v="593"/>
    <x v="4"/>
    <x v="1"/>
    <x v="2"/>
    <n v="5"/>
    <n v="5085"/>
    <n v="1172.1199999999999"/>
  </r>
  <r>
    <x v="658"/>
    <x v="8"/>
    <x v="1"/>
    <x v="0"/>
    <n v="2"/>
    <n v="712"/>
    <n v="205.53"/>
  </r>
  <r>
    <x v="268"/>
    <x v="5"/>
    <x v="2"/>
    <x v="1"/>
    <n v="6"/>
    <n v="648"/>
    <n v="62.25"/>
  </r>
  <r>
    <x v="374"/>
    <x v="1"/>
    <x v="1"/>
    <x v="0"/>
    <n v="5"/>
    <n v="2735"/>
    <n v="483.2"/>
  </r>
  <r>
    <x v="570"/>
    <x v="0"/>
    <x v="0"/>
    <x v="0"/>
    <n v="6"/>
    <n v="2910"/>
    <n v="173.45"/>
  </r>
  <r>
    <x v="16"/>
    <x v="5"/>
    <x v="2"/>
    <x v="2"/>
    <n v="1"/>
    <n v="263"/>
    <n v="69.39"/>
  </r>
  <r>
    <x v="64"/>
    <x v="7"/>
    <x v="2"/>
    <x v="0"/>
    <n v="2"/>
    <n v="876"/>
    <n v="66.680000000000007"/>
  </r>
  <r>
    <x v="572"/>
    <x v="1"/>
    <x v="1"/>
    <x v="3"/>
    <n v="1"/>
    <n v="913"/>
    <n v="162.24"/>
  </r>
  <r>
    <x v="224"/>
    <x v="9"/>
    <x v="2"/>
    <x v="2"/>
    <n v="9"/>
    <n v="594"/>
    <n v="93.92"/>
  </r>
  <r>
    <x v="558"/>
    <x v="4"/>
    <x v="1"/>
    <x v="2"/>
    <n v="2"/>
    <n v="956"/>
    <n v="202.14"/>
  </r>
  <r>
    <x v="373"/>
    <x v="9"/>
    <x v="2"/>
    <x v="1"/>
    <n v="7"/>
    <n v="7301"/>
    <n v="2026.43"/>
  </r>
  <r>
    <x v="654"/>
    <x v="4"/>
    <x v="1"/>
    <x v="2"/>
    <n v="6"/>
    <n v="5754"/>
    <n v="1628.61"/>
  </r>
  <r>
    <x v="925"/>
    <x v="4"/>
    <x v="1"/>
    <x v="1"/>
    <n v="4"/>
    <n v="1372"/>
    <n v="274.47000000000003"/>
  </r>
  <r>
    <x v="926"/>
    <x v="4"/>
    <x v="1"/>
    <x v="0"/>
    <n v="8"/>
    <n v="920"/>
    <n v="214.27"/>
  </r>
  <r>
    <x v="927"/>
    <x v="7"/>
    <x v="2"/>
    <x v="0"/>
    <n v="3"/>
    <n v="885"/>
    <n v="150.79"/>
  </r>
  <r>
    <x v="773"/>
    <x v="3"/>
    <x v="2"/>
    <x v="0"/>
    <n v="1"/>
    <n v="379"/>
    <n v="39.409999999999997"/>
  </r>
  <r>
    <x v="299"/>
    <x v="4"/>
    <x v="1"/>
    <x v="3"/>
    <n v="8"/>
    <n v="1024"/>
    <n v="201.92"/>
  </r>
  <r>
    <x v="28"/>
    <x v="8"/>
    <x v="1"/>
    <x v="3"/>
    <n v="4"/>
    <n v="4312"/>
    <n v="388.48"/>
  </r>
  <r>
    <x v="68"/>
    <x v="1"/>
    <x v="1"/>
    <x v="1"/>
    <n v="5"/>
    <n v="5030"/>
    <n v="540.73"/>
  </r>
  <r>
    <x v="429"/>
    <x v="7"/>
    <x v="2"/>
    <x v="3"/>
    <n v="2"/>
    <n v="1438"/>
    <n v="315.83"/>
  </r>
  <r>
    <x v="709"/>
    <x v="8"/>
    <x v="1"/>
    <x v="2"/>
    <n v="1"/>
    <n v="419"/>
    <n v="108.36"/>
  </r>
  <r>
    <x v="857"/>
    <x v="4"/>
    <x v="1"/>
    <x v="1"/>
    <n v="3"/>
    <n v="3519"/>
    <n v="935.72"/>
  </r>
  <r>
    <x v="384"/>
    <x v="2"/>
    <x v="2"/>
    <x v="1"/>
    <n v="8"/>
    <n v="2912"/>
    <n v="451.97"/>
  </r>
  <r>
    <x v="507"/>
    <x v="7"/>
    <x v="2"/>
    <x v="0"/>
    <n v="5"/>
    <n v="4005"/>
    <n v="226.09"/>
  </r>
  <r>
    <x v="858"/>
    <x v="5"/>
    <x v="2"/>
    <x v="2"/>
    <n v="5"/>
    <n v="2075"/>
    <n v="271.70999999999998"/>
  </r>
  <r>
    <x v="626"/>
    <x v="9"/>
    <x v="2"/>
    <x v="2"/>
    <n v="2"/>
    <n v="120"/>
    <n v="7.74"/>
  </r>
  <r>
    <x v="518"/>
    <x v="3"/>
    <x v="2"/>
    <x v="0"/>
    <n v="4"/>
    <n v="564"/>
    <n v="32.799999999999997"/>
  </r>
  <r>
    <x v="487"/>
    <x v="5"/>
    <x v="2"/>
    <x v="1"/>
    <n v="2"/>
    <n v="486"/>
    <n v="62.58"/>
  </r>
  <r>
    <x v="269"/>
    <x v="5"/>
    <x v="2"/>
    <x v="1"/>
    <n v="2"/>
    <n v="1488"/>
    <n v="342.87"/>
  </r>
  <r>
    <x v="144"/>
    <x v="9"/>
    <x v="2"/>
    <x v="3"/>
    <n v="6"/>
    <n v="3096"/>
    <n v="277.68"/>
  </r>
  <r>
    <x v="254"/>
    <x v="5"/>
    <x v="2"/>
    <x v="3"/>
    <n v="8"/>
    <n v="6488"/>
    <n v="1845.07"/>
  </r>
  <r>
    <x v="896"/>
    <x v="5"/>
    <x v="2"/>
    <x v="3"/>
    <n v="4"/>
    <n v="4284"/>
    <n v="848.44"/>
  </r>
  <r>
    <x v="782"/>
    <x v="5"/>
    <x v="2"/>
    <x v="0"/>
    <n v="8"/>
    <n v="1864"/>
    <n v="110.81"/>
  </r>
  <r>
    <x v="111"/>
    <x v="3"/>
    <x v="2"/>
    <x v="3"/>
    <n v="5"/>
    <n v="4435"/>
    <n v="954.12"/>
  </r>
  <r>
    <x v="141"/>
    <x v="3"/>
    <x v="2"/>
    <x v="1"/>
    <n v="4"/>
    <n v="3296"/>
    <n v="460.98"/>
  </r>
  <r>
    <x v="345"/>
    <x v="1"/>
    <x v="1"/>
    <x v="1"/>
    <n v="3"/>
    <n v="780"/>
    <n v="217.92"/>
  </r>
  <r>
    <x v="928"/>
    <x v="5"/>
    <x v="2"/>
    <x v="1"/>
    <n v="7"/>
    <n v="4396"/>
    <n v="962.61"/>
  </r>
  <r>
    <x v="772"/>
    <x v="8"/>
    <x v="1"/>
    <x v="2"/>
    <n v="6"/>
    <n v="1362"/>
    <n v="202.68"/>
  </r>
  <r>
    <x v="555"/>
    <x v="1"/>
    <x v="1"/>
    <x v="1"/>
    <n v="7"/>
    <n v="3843"/>
    <n v="378.03"/>
  </r>
  <r>
    <x v="693"/>
    <x v="0"/>
    <x v="0"/>
    <x v="1"/>
    <n v="2"/>
    <n v="2080"/>
    <n v="450.24"/>
  </r>
  <r>
    <x v="709"/>
    <x v="1"/>
    <x v="1"/>
    <x v="2"/>
    <n v="5"/>
    <n v="1210"/>
    <n v="201.45"/>
  </r>
  <r>
    <x v="886"/>
    <x v="0"/>
    <x v="0"/>
    <x v="3"/>
    <n v="3"/>
    <n v="2316"/>
    <n v="356.5"/>
  </r>
  <r>
    <x v="21"/>
    <x v="6"/>
    <x v="1"/>
    <x v="3"/>
    <n v="6"/>
    <n v="3366"/>
    <n v="614.22"/>
  </r>
  <r>
    <x v="648"/>
    <x v="2"/>
    <x v="2"/>
    <x v="3"/>
    <n v="9"/>
    <n v="6507"/>
    <n v="1075.51"/>
  </r>
  <r>
    <x v="146"/>
    <x v="1"/>
    <x v="1"/>
    <x v="2"/>
    <n v="1"/>
    <n v="384"/>
    <n v="35.36"/>
  </r>
  <r>
    <x v="443"/>
    <x v="9"/>
    <x v="2"/>
    <x v="2"/>
    <n v="5"/>
    <n v="3625"/>
    <n v="563.95000000000005"/>
  </r>
  <r>
    <x v="91"/>
    <x v="2"/>
    <x v="2"/>
    <x v="2"/>
    <n v="1"/>
    <n v="400"/>
    <n v="45.16"/>
  </r>
  <r>
    <x v="752"/>
    <x v="6"/>
    <x v="1"/>
    <x v="0"/>
    <n v="5"/>
    <n v="2880"/>
    <n v="209.58"/>
  </r>
  <r>
    <x v="470"/>
    <x v="0"/>
    <x v="0"/>
    <x v="3"/>
    <n v="6"/>
    <n v="1608"/>
    <n v="302.32"/>
  </r>
  <r>
    <x v="929"/>
    <x v="4"/>
    <x v="1"/>
    <x v="2"/>
    <n v="2"/>
    <n v="1574"/>
    <n v="196.84"/>
  </r>
  <r>
    <x v="602"/>
    <x v="8"/>
    <x v="1"/>
    <x v="1"/>
    <n v="3"/>
    <n v="2478"/>
    <n v="584.37"/>
  </r>
  <r>
    <x v="775"/>
    <x v="4"/>
    <x v="1"/>
    <x v="1"/>
    <n v="8"/>
    <n v="8872"/>
    <n v="1486.58"/>
  </r>
  <r>
    <x v="153"/>
    <x v="0"/>
    <x v="0"/>
    <x v="1"/>
    <n v="8"/>
    <n v="2320"/>
    <n v="668.63"/>
  </r>
  <r>
    <x v="587"/>
    <x v="4"/>
    <x v="1"/>
    <x v="3"/>
    <n v="3"/>
    <n v="171"/>
    <n v="9.02"/>
  </r>
  <r>
    <x v="211"/>
    <x v="8"/>
    <x v="1"/>
    <x v="2"/>
    <n v="8"/>
    <n v="4536"/>
    <n v="627.13"/>
  </r>
  <r>
    <x v="83"/>
    <x v="4"/>
    <x v="1"/>
    <x v="2"/>
    <n v="3"/>
    <n v="1308"/>
    <n v="73.28"/>
  </r>
  <r>
    <x v="930"/>
    <x v="9"/>
    <x v="2"/>
    <x v="0"/>
    <n v="4"/>
    <n v="4048"/>
    <n v="641.23"/>
  </r>
  <r>
    <x v="282"/>
    <x v="2"/>
    <x v="2"/>
    <x v="1"/>
    <n v="9"/>
    <n v="4041"/>
    <n v="963.58"/>
  </r>
  <r>
    <x v="342"/>
    <x v="4"/>
    <x v="1"/>
    <x v="2"/>
    <n v="5"/>
    <n v="5665"/>
    <n v="332.46"/>
  </r>
  <r>
    <x v="639"/>
    <x v="1"/>
    <x v="1"/>
    <x v="2"/>
    <n v="6"/>
    <n v="6876"/>
    <n v="1029.92"/>
  </r>
  <r>
    <x v="885"/>
    <x v="6"/>
    <x v="1"/>
    <x v="2"/>
    <n v="1"/>
    <n v="617"/>
    <n v="145.37"/>
  </r>
  <r>
    <x v="481"/>
    <x v="6"/>
    <x v="1"/>
    <x v="2"/>
    <n v="6"/>
    <n v="1440"/>
    <n v="130.4"/>
  </r>
  <r>
    <x v="57"/>
    <x v="5"/>
    <x v="2"/>
    <x v="1"/>
    <n v="8"/>
    <n v="472"/>
    <n v="116.36"/>
  </r>
  <r>
    <x v="308"/>
    <x v="9"/>
    <x v="2"/>
    <x v="0"/>
    <n v="5"/>
    <n v="5640"/>
    <n v="1227.77"/>
  </r>
  <r>
    <x v="931"/>
    <x v="4"/>
    <x v="1"/>
    <x v="3"/>
    <n v="6"/>
    <n v="2640"/>
    <n v="668.12"/>
  </r>
  <r>
    <x v="164"/>
    <x v="7"/>
    <x v="2"/>
    <x v="2"/>
    <n v="3"/>
    <n v="768"/>
    <n v="72.67"/>
  </r>
  <r>
    <x v="932"/>
    <x v="8"/>
    <x v="1"/>
    <x v="2"/>
    <n v="1"/>
    <n v="725"/>
    <n v="81.96"/>
  </r>
  <r>
    <x v="74"/>
    <x v="4"/>
    <x v="1"/>
    <x v="0"/>
    <n v="8"/>
    <n v="1080"/>
    <n v="210.69"/>
  </r>
  <r>
    <x v="421"/>
    <x v="4"/>
    <x v="1"/>
    <x v="2"/>
    <n v="1"/>
    <n v="393"/>
    <n v="40.340000000000003"/>
  </r>
  <r>
    <x v="525"/>
    <x v="5"/>
    <x v="2"/>
    <x v="0"/>
    <n v="4"/>
    <n v="1264"/>
    <n v="371.92"/>
  </r>
  <r>
    <x v="52"/>
    <x v="4"/>
    <x v="1"/>
    <x v="2"/>
    <n v="9"/>
    <n v="4797"/>
    <n v="1193.95"/>
  </r>
  <r>
    <x v="743"/>
    <x v="2"/>
    <x v="2"/>
    <x v="1"/>
    <n v="8"/>
    <n v="2080"/>
    <n v="151.13999999999999"/>
  </r>
  <r>
    <x v="93"/>
    <x v="3"/>
    <x v="2"/>
    <x v="3"/>
    <n v="4"/>
    <n v="3812"/>
    <n v="312.8"/>
  </r>
  <r>
    <x v="400"/>
    <x v="1"/>
    <x v="1"/>
    <x v="3"/>
    <n v="5"/>
    <n v="3695"/>
    <n v="463.57"/>
  </r>
  <r>
    <x v="429"/>
    <x v="1"/>
    <x v="1"/>
    <x v="2"/>
    <n v="1"/>
    <n v="1159"/>
    <n v="344.22"/>
  </r>
  <r>
    <x v="933"/>
    <x v="2"/>
    <x v="2"/>
    <x v="3"/>
    <n v="9"/>
    <n v="4149"/>
    <n v="605.52"/>
  </r>
  <r>
    <x v="64"/>
    <x v="8"/>
    <x v="1"/>
    <x v="1"/>
    <n v="2"/>
    <n v="1446"/>
    <n v="171.73"/>
  </r>
  <r>
    <x v="751"/>
    <x v="9"/>
    <x v="2"/>
    <x v="2"/>
    <n v="1"/>
    <n v="225"/>
    <n v="48.82"/>
  </r>
  <r>
    <x v="677"/>
    <x v="4"/>
    <x v="1"/>
    <x v="2"/>
    <n v="1"/>
    <n v="355"/>
    <n v="26.8"/>
  </r>
  <r>
    <x v="124"/>
    <x v="2"/>
    <x v="2"/>
    <x v="3"/>
    <n v="7"/>
    <n v="3164"/>
    <n v="166.4"/>
  </r>
  <r>
    <x v="934"/>
    <x v="5"/>
    <x v="2"/>
    <x v="1"/>
    <n v="1"/>
    <n v="498"/>
    <n v="38.67"/>
  </r>
  <r>
    <x v="869"/>
    <x v="4"/>
    <x v="1"/>
    <x v="2"/>
    <n v="5"/>
    <n v="1315"/>
    <n v="217.79"/>
  </r>
  <r>
    <x v="602"/>
    <x v="4"/>
    <x v="1"/>
    <x v="0"/>
    <n v="5"/>
    <n v="2805"/>
    <n v="438.89"/>
  </r>
  <r>
    <x v="506"/>
    <x v="6"/>
    <x v="1"/>
    <x v="1"/>
    <n v="5"/>
    <n v="5180"/>
    <n v="726.62"/>
  </r>
  <r>
    <x v="935"/>
    <x v="3"/>
    <x v="2"/>
    <x v="0"/>
    <n v="5"/>
    <n v="4045"/>
    <n v="203.35"/>
  </r>
  <r>
    <x v="936"/>
    <x v="9"/>
    <x v="2"/>
    <x v="0"/>
    <n v="9"/>
    <n v="8793"/>
    <n v="2262.4299999999998"/>
  </r>
  <r>
    <x v="145"/>
    <x v="4"/>
    <x v="1"/>
    <x v="2"/>
    <n v="8"/>
    <n v="2592"/>
    <n v="526.38"/>
  </r>
  <r>
    <x v="89"/>
    <x v="8"/>
    <x v="1"/>
    <x v="1"/>
    <n v="7"/>
    <n v="7819"/>
    <n v="1708.84"/>
  </r>
  <r>
    <x v="325"/>
    <x v="5"/>
    <x v="2"/>
    <x v="0"/>
    <n v="7"/>
    <n v="2919"/>
    <n v="325.35000000000002"/>
  </r>
  <r>
    <x v="937"/>
    <x v="0"/>
    <x v="0"/>
    <x v="2"/>
    <n v="3"/>
    <n v="768"/>
    <n v="85.37"/>
  </r>
  <r>
    <x v="938"/>
    <x v="7"/>
    <x v="2"/>
    <x v="3"/>
    <n v="2"/>
    <n v="1736"/>
    <n v="388.09"/>
  </r>
  <r>
    <x v="21"/>
    <x v="5"/>
    <x v="2"/>
    <x v="2"/>
    <n v="7"/>
    <n v="6293"/>
    <n v="389.22"/>
  </r>
  <r>
    <x v="726"/>
    <x v="4"/>
    <x v="1"/>
    <x v="2"/>
    <n v="6"/>
    <n v="3684"/>
    <n v="477.02"/>
  </r>
  <r>
    <x v="413"/>
    <x v="0"/>
    <x v="0"/>
    <x v="2"/>
    <n v="9"/>
    <n v="8370"/>
    <n v="1064.6500000000001"/>
  </r>
  <r>
    <x v="354"/>
    <x v="8"/>
    <x v="1"/>
    <x v="2"/>
    <n v="4"/>
    <n v="3788"/>
    <n v="875.54"/>
  </r>
  <r>
    <x v="858"/>
    <x v="9"/>
    <x v="2"/>
    <x v="3"/>
    <n v="8"/>
    <n v="8296"/>
    <n v="1884.18"/>
  </r>
  <r>
    <x v="645"/>
    <x v="2"/>
    <x v="2"/>
    <x v="3"/>
    <n v="5"/>
    <n v="325"/>
    <n v="21.01"/>
  </r>
  <r>
    <x v="797"/>
    <x v="3"/>
    <x v="2"/>
    <x v="0"/>
    <n v="2"/>
    <n v="2216"/>
    <n v="444.36"/>
  </r>
  <r>
    <x v="429"/>
    <x v="9"/>
    <x v="2"/>
    <x v="0"/>
    <n v="8"/>
    <n v="7064"/>
    <n v="1873.02"/>
  </r>
  <r>
    <x v="145"/>
    <x v="1"/>
    <x v="1"/>
    <x v="1"/>
    <n v="9"/>
    <n v="2538"/>
    <n v="575.41"/>
  </r>
  <r>
    <x v="732"/>
    <x v="4"/>
    <x v="1"/>
    <x v="0"/>
    <n v="1"/>
    <n v="1151"/>
    <n v="77.22"/>
  </r>
  <r>
    <x v="842"/>
    <x v="8"/>
    <x v="1"/>
    <x v="1"/>
    <n v="1"/>
    <n v="717"/>
    <n v="137.27000000000001"/>
  </r>
  <r>
    <x v="187"/>
    <x v="5"/>
    <x v="2"/>
    <x v="1"/>
    <n v="8"/>
    <n v="3048"/>
    <n v="444.3"/>
  </r>
  <r>
    <x v="674"/>
    <x v="8"/>
    <x v="1"/>
    <x v="2"/>
    <n v="3"/>
    <n v="2070"/>
    <n v="163.22999999999999"/>
  </r>
  <r>
    <x v="939"/>
    <x v="3"/>
    <x v="2"/>
    <x v="1"/>
    <n v="5"/>
    <n v="3630"/>
    <n v="537.92999999999995"/>
  </r>
  <r>
    <x v="110"/>
    <x v="2"/>
    <x v="2"/>
    <x v="1"/>
    <n v="7"/>
    <n v="896"/>
    <n v="219.98"/>
  </r>
  <r>
    <x v="544"/>
    <x v="2"/>
    <x v="2"/>
    <x v="1"/>
    <n v="7"/>
    <n v="1981"/>
    <n v="311.44"/>
  </r>
  <r>
    <x v="940"/>
    <x v="4"/>
    <x v="1"/>
    <x v="3"/>
    <n v="6"/>
    <n v="7140"/>
    <n v="605.22"/>
  </r>
  <r>
    <x v="129"/>
    <x v="6"/>
    <x v="1"/>
    <x v="0"/>
    <n v="5"/>
    <n v="1015"/>
    <n v="85.06"/>
  </r>
  <r>
    <x v="518"/>
    <x v="4"/>
    <x v="1"/>
    <x v="0"/>
    <n v="4"/>
    <n v="524"/>
    <n v="52.31"/>
  </r>
  <r>
    <x v="431"/>
    <x v="5"/>
    <x v="2"/>
    <x v="0"/>
    <n v="2"/>
    <n v="1678"/>
    <n v="372.78"/>
  </r>
  <r>
    <x v="251"/>
    <x v="2"/>
    <x v="2"/>
    <x v="2"/>
    <n v="4"/>
    <n v="3260"/>
    <n v="969.76"/>
  </r>
  <r>
    <x v="941"/>
    <x v="4"/>
    <x v="1"/>
    <x v="2"/>
    <n v="5"/>
    <n v="720"/>
    <n v="214.31"/>
  </r>
  <r>
    <x v="28"/>
    <x v="0"/>
    <x v="0"/>
    <x v="3"/>
    <n v="4"/>
    <n v="1792"/>
    <n v="417.99"/>
  </r>
  <r>
    <x v="316"/>
    <x v="2"/>
    <x v="2"/>
    <x v="2"/>
    <n v="9"/>
    <n v="3096"/>
    <n v="505.08"/>
  </r>
  <r>
    <x v="942"/>
    <x v="8"/>
    <x v="1"/>
    <x v="2"/>
    <n v="5"/>
    <n v="1400"/>
    <n v="273.39"/>
  </r>
  <r>
    <x v="43"/>
    <x v="5"/>
    <x v="2"/>
    <x v="0"/>
    <n v="4"/>
    <n v="508"/>
    <n v="37.94"/>
  </r>
  <r>
    <x v="615"/>
    <x v="2"/>
    <x v="2"/>
    <x v="1"/>
    <n v="7"/>
    <n v="2646"/>
    <n v="380.83"/>
  </r>
  <r>
    <x v="588"/>
    <x v="1"/>
    <x v="1"/>
    <x v="1"/>
    <n v="1"/>
    <n v="357"/>
    <n v="79.86"/>
  </r>
  <r>
    <x v="55"/>
    <x v="2"/>
    <x v="2"/>
    <x v="0"/>
    <n v="1"/>
    <n v="373"/>
    <n v="53.15"/>
  </r>
  <r>
    <x v="650"/>
    <x v="7"/>
    <x v="2"/>
    <x v="1"/>
    <n v="1"/>
    <n v="266"/>
    <n v="55.52"/>
  </r>
  <r>
    <x v="943"/>
    <x v="7"/>
    <x v="2"/>
    <x v="0"/>
    <n v="4"/>
    <n v="344"/>
    <n v="25.7"/>
  </r>
  <r>
    <x v="373"/>
    <x v="7"/>
    <x v="2"/>
    <x v="0"/>
    <n v="7"/>
    <n v="1806"/>
    <n v="308.92"/>
  </r>
  <r>
    <x v="563"/>
    <x v="0"/>
    <x v="0"/>
    <x v="0"/>
    <n v="9"/>
    <n v="7281"/>
    <n v="396.28"/>
  </r>
  <r>
    <x v="168"/>
    <x v="5"/>
    <x v="2"/>
    <x v="3"/>
    <n v="7"/>
    <n v="3094"/>
    <n v="463.72"/>
  </r>
  <r>
    <x v="59"/>
    <x v="8"/>
    <x v="1"/>
    <x v="1"/>
    <n v="2"/>
    <n v="252"/>
    <n v="67.37"/>
  </r>
  <r>
    <x v="944"/>
    <x v="3"/>
    <x v="2"/>
    <x v="1"/>
    <n v="9"/>
    <n v="2691"/>
    <n v="761.16"/>
  </r>
  <r>
    <x v="395"/>
    <x v="0"/>
    <x v="0"/>
    <x v="3"/>
    <n v="6"/>
    <n v="990"/>
    <n v="102.83"/>
  </r>
  <r>
    <x v="918"/>
    <x v="5"/>
    <x v="2"/>
    <x v="2"/>
    <n v="4"/>
    <n v="3236"/>
    <n v="655.17999999999995"/>
  </r>
  <r>
    <x v="944"/>
    <x v="9"/>
    <x v="2"/>
    <x v="1"/>
    <n v="4"/>
    <n v="1076"/>
    <n v="124.56"/>
  </r>
  <r>
    <x v="612"/>
    <x v="2"/>
    <x v="2"/>
    <x v="0"/>
    <n v="4"/>
    <n v="1428"/>
    <n v="160.54"/>
  </r>
  <r>
    <x v="802"/>
    <x v="8"/>
    <x v="1"/>
    <x v="1"/>
    <n v="5"/>
    <n v="1000"/>
    <n v="292.04000000000002"/>
  </r>
  <r>
    <x v="42"/>
    <x v="5"/>
    <x v="2"/>
    <x v="2"/>
    <n v="9"/>
    <n v="3429"/>
    <n v="998.82"/>
  </r>
  <r>
    <x v="391"/>
    <x v="6"/>
    <x v="1"/>
    <x v="3"/>
    <n v="5"/>
    <n v="4730"/>
    <n v="1416.1"/>
  </r>
  <r>
    <x v="609"/>
    <x v="6"/>
    <x v="1"/>
    <x v="2"/>
    <n v="6"/>
    <n v="6630"/>
    <n v="512.6"/>
  </r>
  <r>
    <x v="9"/>
    <x v="3"/>
    <x v="2"/>
    <x v="2"/>
    <n v="7"/>
    <n v="2296"/>
    <n v="138.93"/>
  </r>
  <r>
    <x v="945"/>
    <x v="6"/>
    <x v="1"/>
    <x v="1"/>
    <n v="7"/>
    <n v="7420"/>
    <n v="1107.31"/>
  </r>
  <r>
    <x v="472"/>
    <x v="0"/>
    <x v="0"/>
    <x v="2"/>
    <n v="7"/>
    <n v="2338"/>
    <n v="531.5"/>
  </r>
  <r>
    <x v="165"/>
    <x v="8"/>
    <x v="1"/>
    <x v="2"/>
    <n v="7"/>
    <n v="4039"/>
    <n v="420.29"/>
  </r>
  <r>
    <x v="130"/>
    <x v="9"/>
    <x v="2"/>
    <x v="1"/>
    <n v="2"/>
    <n v="990"/>
    <n v="76.87"/>
  </r>
  <r>
    <x v="613"/>
    <x v="9"/>
    <x v="2"/>
    <x v="3"/>
    <n v="1"/>
    <n v="733"/>
    <n v="54.11"/>
  </r>
  <r>
    <x v="450"/>
    <x v="7"/>
    <x v="2"/>
    <x v="1"/>
    <n v="3"/>
    <n v="2421"/>
    <n v="334.61"/>
  </r>
  <r>
    <x v="685"/>
    <x v="8"/>
    <x v="1"/>
    <x v="1"/>
    <n v="8"/>
    <n v="832"/>
    <n v="214.81"/>
  </r>
  <r>
    <x v="728"/>
    <x v="5"/>
    <x v="2"/>
    <x v="1"/>
    <n v="1"/>
    <n v="483"/>
    <n v="98.15"/>
  </r>
  <r>
    <x v="946"/>
    <x v="8"/>
    <x v="1"/>
    <x v="0"/>
    <n v="6"/>
    <n v="2508"/>
    <n v="480.48"/>
  </r>
  <r>
    <x v="487"/>
    <x v="8"/>
    <x v="1"/>
    <x v="0"/>
    <n v="7"/>
    <n v="4032"/>
    <n v="426.13"/>
  </r>
  <r>
    <x v="102"/>
    <x v="8"/>
    <x v="1"/>
    <x v="1"/>
    <n v="8"/>
    <n v="3208"/>
    <n v="840.97"/>
  </r>
  <r>
    <x v="870"/>
    <x v="5"/>
    <x v="2"/>
    <x v="2"/>
    <n v="6"/>
    <n v="3402"/>
    <n v="857.61"/>
  </r>
  <r>
    <x v="486"/>
    <x v="4"/>
    <x v="1"/>
    <x v="0"/>
    <n v="1"/>
    <n v="541"/>
    <n v="52.5"/>
  </r>
  <r>
    <x v="89"/>
    <x v="5"/>
    <x v="2"/>
    <x v="3"/>
    <n v="7"/>
    <n v="1806"/>
    <n v="129.6"/>
  </r>
  <r>
    <x v="444"/>
    <x v="4"/>
    <x v="1"/>
    <x v="2"/>
    <n v="3"/>
    <n v="2433"/>
    <n v="515.28"/>
  </r>
  <r>
    <x v="396"/>
    <x v="8"/>
    <x v="1"/>
    <x v="1"/>
    <n v="6"/>
    <n v="5880"/>
    <n v="454.19"/>
  </r>
  <r>
    <x v="947"/>
    <x v="1"/>
    <x v="1"/>
    <x v="3"/>
    <n v="3"/>
    <n v="3375"/>
    <n v="451.5"/>
  </r>
  <r>
    <x v="410"/>
    <x v="2"/>
    <x v="2"/>
    <x v="0"/>
    <n v="8"/>
    <n v="6960"/>
    <n v="1913.58"/>
  </r>
  <r>
    <x v="933"/>
    <x v="8"/>
    <x v="1"/>
    <x v="3"/>
    <n v="4"/>
    <n v="316"/>
    <n v="32.79"/>
  </r>
  <r>
    <x v="645"/>
    <x v="2"/>
    <x v="2"/>
    <x v="0"/>
    <n v="9"/>
    <n v="1404"/>
    <n v="89.43"/>
  </r>
  <r>
    <x v="729"/>
    <x v="8"/>
    <x v="1"/>
    <x v="0"/>
    <n v="9"/>
    <n v="5823"/>
    <n v="478.22"/>
  </r>
  <r>
    <x v="948"/>
    <x v="4"/>
    <x v="1"/>
    <x v="2"/>
    <n v="6"/>
    <n v="2790"/>
    <n v="719.15"/>
  </r>
  <r>
    <x v="678"/>
    <x v="2"/>
    <x v="2"/>
    <x v="3"/>
    <n v="7"/>
    <n v="1169"/>
    <n v="69.41"/>
  </r>
  <r>
    <x v="845"/>
    <x v="0"/>
    <x v="0"/>
    <x v="1"/>
    <n v="8"/>
    <n v="6016"/>
    <n v="406.13"/>
  </r>
  <r>
    <x v="591"/>
    <x v="5"/>
    <x v="2"/>
    <x v="0"/>
    <n v="7"/>
    <n v="7154"/>
    <n v="1177.51"/>
  </r>
  <r>
    <x v="778"/>
    <x v="8"/>
    <x v="1"/>
    <x v="3"/>
    <n v="2"/>
    <n v="370"/>
    <n v="102.74"/>
  </r>
  <r>
    <x v="3"/>
    <x v="6"/>
    <x v="1"/>
    <x v="3"/>
    <n v="1"/>
    <n v="430"/>
    <n v="113.57"/>
  </r>
  <r>
    <x v="503"/>
    <x v="5"/>
    <x v="2"/>
    <x v="3"/>
    <n v="1"/>
    <n v="946"/>
    <n v="280.52999999999997"/>
  </r>
  <r>
    <x v="229"/>
    <x v="2"/>
    <x v="2"/>
    <x v="2"/>
    <n v="8"/>
    <n v="984"/>
    <n v="73.84"/>
  </r>
  <r>
    <x v="818"/>
    <x v="8"/>
    <x v="1"/>
    <x v="1"/>
    <n v="9"/>
    <n v="1467"/>
    <n v="372.17"/>
  </r>
  <r>
    <x v="173"/>
    <x v="7"/>
    <x v="2"/>
    <x v="2"/>
    <n v="4"/>
    <n v="2444"/>
    <n v="155.41999999999999"/>
  </r>
  <r>
    <x v="949"/>
    <x v="1"/>
    <x v="1"/>
    <x v="0"/>
    <n v="9"/>
    <n v="8640"/>
    <n v="1254.3"/>
  </r>
  <r>
    <x v="466"/>
    <x v="5"/>
    <x v="2"/>
    <x v="3"/>
    <n v="9"/>
    <n v="3861"/>
    <n v="536.04"/>
  </r>
  <r>
    <x v="798"/>
    <x v="8"/>
    <x v="1"/>
    <x v="0"/>
    <n v="1"/>
    <n v="868"/>
    <n v="60.12"/>
  </r>
  <r>
    <x v="327"/>
    <x v="9"/>
    <x v="2"/>
    <x v="2"/>
    <n v="9"/>
    <n v="1746"/>
    <n v="260.5"/>
  </r>
  <r>
    <x v="315"/>
    <x v="0"/>
    <x v="0"/>
    <x v="2"/>
    <n v="1"/>
    <n v="915"/>
    <n v="129.08000000000001"/>
  </r>
  <r>
    <x v="767"/>
    <x v="5"/>
    <x v="2"/>
    <x v="1"/>
    <n v="9"/>
    <n v="3591"/>
    <n v="423"/>
  </r>
  <r>
    <x v="438"/>
    <x v="3"/>
    <x v="2"/>
    <x v="1"/>
    <n v="6"/>
    <n v="2562"/>
    <n v="612.36"/>
  </r>
  <r>
    <x v="380"/>
    <x v="5"/>
    <x v="2"/>
    <x v="3"/>
    <n v="9"/>
    <n v="5382"/>
    <n v="1037.04"/>
  </r>
  <r>
    <x v="723"/>
    <x v="5"/>
    <x v="2"/>
    <x v="1"/>
    <n v="4"/>
    <n v="2792"/>
    <n v="170.96"/>
  </r>
  <r>
    <x v="472"/>
    <x v="4"/>
    <x v="1"/>
    <x v="1"/>
    <n v="4"/>
    <n v="2160"/>
    <n v="631.9"/>
  </r>
  <r>
    <x v="632"/>
    <x v="6"/>
    <x v="1"/>
    <x v="3"/>
    <n v="7"/>
    <n v="6377"/>
    <n v="1332.86"/>
  </r>
  <r>
    <x v="432"/>
    <x v="7"/>
    <x v="2"/>
    <x v="1"/>
    <n v="8"/>
    <n v="5264"/>
    <n v="1051.5"/>
  </r>
  <r>
    <x v="700"/>
    <x v="9"/>
    <x v="2"/>
    <x v="0"/>
    <n v="2"/>
    <n v="1346"/>
    <n v="196.5"/>
  </r>
  <r>
    <x v="372"/>
    <x v="3"/>
    <x v="2"/>
    <x v="2"/>
    <n v="7"/>
    <n v="7301"/>
    <n v="1311.65"/>
  </r>
  <r>
    <x v="157"/>
    <x v="8"/>
    <x v="1"/>
    <x v="2"/>
    <n v="2"/>
    <n v="2016"/>
    <n v="198.26"/>
  </r>
  <r>
    <x v="718"/>
    <x v="9"/>
    <x v="2"/>
    <x v="0"/>
    <n v="6"/>
    <n v="1266"/>
    <n v="220.5"/>
  </r>
  <r>
    <x v="832"/>
    <x v="1"/>
    <x v="1"/>
    <x v="3"/>
    <n v="2"/>
    <n v="140"/>
    <n v="35.18"/>
  </r>
  <r>
    <x v="950"/>
    <x v="3"/>
    <x v="2"/>
    <x v="1"/>
    <n v="8"/>
    <n v="6520"/>
    <n v="1073.6199999999999"/>
  </r>
  <r>
    <x v="273"/>
    <x v="8"/>
    <x v="1"/>
    <x v="1"/>
    <n v="1"/>
    <n v="582"/>
    <n v="29.91"/>
  </r>
  <r>
    <x v="951"/>
    <x v="0"/>
    <x v="0"/>
    <x v="3"/>
    <n v="1"/>
    <n v="245"/>
    <n v="14.5"/>
  </r>
  <r>
    <x v="448"/>
    <x v="1"/>
    <x v="1"/>
    <x v="2"/>
    <n v="1"/>
    <n v="504"/>
    <n v="143.12"/>
  </r>
  <r>
    <x v="789"/>
    <x v="6"/>
    <x v="1"/>
    <x v="2"/>
    <n v="6"/>
    <n v="6834"/>
    <n v="1211.75"/>
  </r>
  <r>
    <x v="430"/>
    <x v="4"/>
    <x v="1"/>
    <x v="3"/>
    <n v="8"/>
    <n v="5712"/>
    <n v="1191.02"/>
  </r>
  <r>
    <x v="175"/>
    <x v="9"/>
    <x v="2"/>
    <x v="2"/>
    <n v="5"/>
    <n v="4485"/>
    <n v="347.99"/>
  </r>
  <r>
    <x v="59"/>
    <x v="4"/>
    <x v="1"/>
    <x v="3"/>
    <n v="8"/>
    <n v="2304"/>
    <n v="291.45999999999998"/>
  </r>
  <r>
    <x v="172"/>
    <x v="1"/>
    <x v="1"/>
    <x v="0"/>
    <n v="6"/>
    <n v="6576"/>
    <n v="815.56"/>
  </r>
  <r>
    <x v="724"/>
    <x v="8"/>
    <x v="1"/>
    <x v="2"/>
    <n v="9"/>
    <n v="10629"/>
    <n v="2843.54"/>
  </r>
  <r>
    <x v="655"/>
    <x v="3"/>
    <x v="2"/>
    <x v="1"/>
    <n v="1"/>
    <n v="706"/>
    <n v="153.59"/>
  </r>
  <r>
    <x v="812"/>
    <x v="4"/>
    <x v="1"/>
    <x v="2"/>
    <n v="1"/>
    <n v="977"/>
    <n v="103.82"/>
  </r>
  <r>
    <x v="498"/>
    <x v="5"/>
    <x v="2"/>
    <x v="2"/>
    <n v="4"/>
    <n v="776"/>
    <n v="73.16"/>
  </r>
  <r>
    <x v="808"/>
    <x v="2"/>
    <x v="2"/>
    <x v="3"/>
    <n v="4"/>
    <n v="3932"/>
    <n v="309.43"/>
  </r>
  <r>
    <x v="952"/>
    <x v="8"/>
    <x v="1"/>
    <x v="1"/>
    <n v="3"/>
    <n v="1263"/>
    <n v="368.46"/>
  </r>
  <r>
    <x v="306"/>
    <x v="8"/>
    <x v="1"/>
    <x v="1"/>
    <n v="8"/>
    <n v="7064"/>
    <n v="745.24"/>
  </r>
  <r>
    <x v="157"/>
    <x v="8"/>
    <x v="1"/>
    <x v="3"/>
    <n v="4"/>
    <n v="4740"/>
    <n v="746.77"/>
  </r>
  <r>
    <x v="170"/>
    <x v="0"/>
    <x v="0"/>
    <x v="2"/>
    <n v="7"/>
    <n v="4522"/>
    <n v="1137.23"/>
  </r>
  <r>
    <x v="55"/>
    <x v="2"/>
    <x v="2"/>
    <x v="2"/>
    <n v="7"/>
    <n v="2009"/>
    <n v="183.19"/>
  </r>
  <r>
    <x v="705"/>
    <x v="7"/>
    <x v="2"/>
    <x v="1"/>
    <n v="2"/>
    <n v="2110"/>
    <n v="548.12"/>
  </r>
  <r>
    <x v="469"/>
    <x v="1"/>
    <x v="1"/>
    <x v="3"/>
    <n v="1"/>
    <n v="95"/>
    <n v="6.97"/>
  </r>
  <r>
    <x v="359"/>
    <x v="5"/>
    <x v="2"/>
    <x v="1"/>
    <n v="1"/>
    <n v="384"/>
    <n v="83.58"/>
  </r>
  <r>
    <x v="590"/>
    <x v="2"/>
    <x v="2"/>
    <x v="0"/>
    <n v="3"/>
    <n v="3471"/>
    <n v="200.08"/>
  </r>
  <r>
    <x v="657"/>
    <x v="2"/>
    <x v="2"/>
    <x v="3"/>
    <n v="4"/>
    <n v="2048"/>
    <n v="507.01"/>
  </r>
  <r>
    <x v="87"/>
    <x v="6"/>
    <x v="1"/>
    <x v="2"/>
    <n v="8"/>
    <n v="9296"/>
    <n v="2581.06"/>
  </r>
  <r>
    <x v="670"/>
    <x v="9"/>
    <x v="2"/>
    <x v="3"/>
    <n v="8"/>
    <n v="5272"/>
    <n v="1188.1600000000001"/>
  </r>
  <r>
    <x v="927"/>
    <x v="4"/>
    <x v="1"/>
    <x v="1"/>
    <n v="1"/>
    <n v="619"/>
    <n v="127.58"/>
  </r>
  <r>
    <x v="185"/>
    <x v="9"/>
    <x v="2"/>
    <x v="0"/>
    <n v="1"/>
    <n v="448"/>
    <n v="53.2"/>
  </r>
  <r>
    <x v="42"/>
    <x v="8"/>
    <x v="1"/>
    <x v="0"/>
    <n v="9"/>
    <n v="5004"/>
    <n v="1313.13"/>
  </r>
  <r>
    <x v="64"/>
    <x v="8"/>
    <x v="1"/>
    <x v="0"/>
    <n v="4"/>
    <n v="4716"/>
    <n v="704.99"/>
  </r>
  <r>
    <x v="2"/>
    <x v="0"/>
    <x v="0"/>
    <x v="3"/>
    <n v="9"/>
    <n v="7506"/>
    <n v="827.17"/>
  </r>
  <r>
    <x v="953"/>
    <x v="8"/>
    <x v="1"/>
    <x v="0"/>
    <n v="7"/>
    <n v="4095"/>
    <n v="883.56"/>
  </r>
  <r>
    <x v="363"/>
    <x v="5"/>
    <x v="2"/>
    <x v="0"/>
    <n v="7"/>
    <n v="4459"/>
    <n v="1037.27"/>
  </r>
  <r>
    <x v="266"/>
    <x v="2"/>
    <x v="2"/>
    <x v="2"/>
    <n v="5"/>
    <n v="620"/>
    <n v="62.49"/>
  </r>
  <r>
    <x v="653"/>
    <x v="5"/>
    <x v="2"/>
    <x v="3"/>
    <n v="2"/>
    <n v="2362"/>
    <n v="185.89"/>
  </r>
  <r>
    <x v="312"/>
    <x v="0"/>
    <x v="0"/>
    <x v="0"/>
    <n v="2"/>
    <n v="606"/>
    <n v="154.99"/>
  </r>
  <r>
    <x v="501"/>
    <x v="3"/>
    <x v="2"/>
    <x v="1"/>
    <n v="4"/>
    <n v="1084"/>
    <n v="134.41999999999999"/>
  </r>
  <r>
    <x v="954"/>
    <x v="9"/>
    <x v="2"/>
    <x v="0"/>
    <n v="8"/>
    <n v="2880"/>
    <n v="315.87"/>
  </r>
  <r>
    <x v="157"/>
    <x v="9"/>
    <x v="2"/>
    <x v="3"/>
    <n v="8"/>
    <n v="4544"/>
    <n v="727.05"/>
  </r>
  <r>
    <x v="303"/>
    <x v="1"/>
    <x v="1"/>
    <x v="3"/>
    <n v="4"/>
    <n v="556"/>
    <n v="85.63"/>
  </r>
  <r>
    <x v="554"/>
    <x v="9"/>
    <x v="2"/>
    <x v="0"/>
    <n v="5"/>
    <n v="505"/>
    <n v="71.97"/>
  </r>
  <r>
    <x v="267"/>
    <x v="2"/>
    <x v="2"/>
    <x v="3"/>
    <n v="5"/>
    <n v="2595"/>
    <n v="774.2"/>
  </r>
  <r>
    <x v="955"/>
    <x v="4"/>
    <x v="1"/>
    <x v="2"/>
    <n v="5"/>
    <n v="2820"/>
    <n v="737.68"/>
  </r>
  <r>
    <x v="115"/>
    <x v="8"/>
    <x v="1"/>
    <x v="1"/>
    <n v="2"/>
    <n v="1018"/>
    <n v="297.20999999999998"/>
  </r>
  <r>
    <x v="956"/>
    <x v="9"/>
    <x v="2"/>
    <x v="1"/>
    <n v="4"/>
    <n v="944"/>
    <n v="176.56"/>
  </r>
  <r>
    <x v="614"/>
    <x v="2"/>
    <x v="2"/>
    <x v="1"/>
    <n v="1"/>
    <n v="610"/>
    <n v="44.99"/>
  </r>
  <r>
    <x v="538"/>
    <x v="3"/>
    <x v="2"/>
    <x v="2"/>
    <n v="4"/>
    <n v="912"/>
    <n v="81.650000000000006"/>
  </r>
  <r>
    <x v="610"/>
    <x v="6"/>
    <x v="1"/>
    <x v="3"/>
    <n v="9"/>
    <n v="10413"/>
    <n v="1738.63"/>
  </r>
  <r>
    <x v="346"/>
    <x v="0"/>
    <x v="0"/>
    <x v="3"/>
    <n v="8"/>
    <n v="2176"/>
    <n v="398.29"/>
  </r>
  <r>
    <x v="814"/>
    <x v="0"/>
    <x v="0"/>
    <x v="1"/>
    <n v="6"/>
    <n v="6108"/>
    <n v="1488.4"/>
  </r>
  <r>
    <x v="921"/>
    <x v="1"/>
    <x v="1"/>
    <x v="3"/>
    <n v="2"/>
    <n v="1148"/>
    <n v="173.89"/>
  </r>
  <r>
    <x v="957"/>
    <x v="6"/>
    <x v="1"/>
    <x v="1"/>
    <n v="8"/>
    <n v="8824"/>
    <n v="597.1"/>
  </r>
  <r>
    <x v="669"/>
    <x v="4"/>
    <x v="1"/>
    <x v="0"/>
    <n v="5"/>
    <n v="2240"/>
    <n v="159.58000000000001"/>
  </r>
  <r>
    <x v="958"/>
    <x v="3"/>
    <x v="2"/>
    <x v="0"/>
    <n v="2"/>
    <n v="1312"/>
    <n v="386.79"/>
  </r>
  <r>
    <x v="374"/>
    <x v="9"/>
    <x v="2"/>
    <x v="2"/>
    <n v="9"/>
    <n v="10620"/>
    <n v="2946.93"/>
  </r>
  <r>
    <x v="58"/>
    <x v="2"/>
    <x v="2"/>
    <x v="1"/>
    <n v="2"/>
    <n v="2178"/>
    <n v="574.4"/>
  </r>
  <r>
    <x v="446"/>
    <x v="6"/>
    <x v="1"/>
    <x v="1"/>
    <n v="3"/>
    <n v="1671"/>
    <n v="94.52"/>
  </r>
  <r>
    <x v="311"/>
    <x v="6"/>
    <x v="1"/>
    <x v="1"/>
    <n v="3"/>
    <n v="2025"/>
    <n v="355.59"/>
  </r>
  <r>
    <x v="252"/>
    <x v="1"/>
    <x v="1"/>
    <x v="1"/>
    <n v="6"/>
    <n v="2886"/>
    <n v="355.32"/>
  </r>
  <r>
    <x v="624"/>
    <x v="0"/>
    <x v="0"/>
    <x v="1"/>
    <n v="2"/>
    <n v="1868"/>
    <n v="307.32"/>
  </r>
  <r>
    <x v="690"/>
    <x v="4"/>
    <x v="1"/>
    <x v="1"/>
    <n v="4"/>
    <n v="3280"/>
    <n v="826.94"/>
  </r>
  <r>
    <x v="531"/>
    <x v="2"/>
    <x v="2"/>
    <x v="3"/>
    <n v="2"/>
    <n v="1768"/>
    <n v="375.86"/>
  </r>
  <r>
    <x v="768"/>
    <x v="3"/>
    <x v="2"/>
    <x v="3"/>
    <n v="7"/>
    <n v="6937"/>
    <n v="1753.02"/>
  </r>
  <r>
    <x v="769"/>
    <x v="5"/>
    <x v="2"/>
    <x v="0"/>
    <n v="6"/>
    <n v="3012"/>
    <n v="307.47000000000003"/>
  </r>
  <r>
    <x v="49"/>
    <x v="4"/>
    <x v="1"/>
    <x v="2"/>
    <n v="3"/>
    <n v="777"/>
    <n v="147.93"/>
  </r>
  <r>
    <x v="959"/>
    <x v="7"/>
    <x v="2"/>
    <x v="1"/>
    <n v="6"/>
    <n v="4056"/>
    <n v="452.14"/>
  </r>
  <r>
    <x v="960"/>
    <x v="0"/>
    <x v="0"/>
    <x v="2"/>
    <n v="4"/>
    <n v="3212"/>
    <n v="514.91999999999996"/>
  </r>
  <r>
    <x v="444"/>
    <x v="5"/>
    <x v="2"/>
    <x v="3"/>
    <n v="1"/>
    <n v="952"/>
    <n v="179.4"/>
  </r>
  <r>
    <x v="282"/>
    <x v="7"/>
    <x v="2"/>
    <x v="0"/>
    <n v="3"/>
    <n v="1674"/>
    <n v="106.24"/>
  </r>
  <r>
    <x v="792"/>
    <x v="5"/>
    <x v="2"/>
    <x v="1"/>
    <n v="5"/>
    <n v="4315"/>
    <n v="1019.91"/>
  </r>
  <r>
    <x v="228"/>
    <x v="1"/>
    <x v="1"/>
    <x v="0"/>
    <n v="7"/>
    <n v="1722"/>
    <n v="162.38999999999999"/>
  </r>
  <r>
    <x v="415"/>
    <x v="8"/>
    <x v="1"/>
    <x v="2"/>
    <n v="5"/>
    <n v="2895"/>
    <n v="334.35"/>
  </r>
  <r>
    <x v="846"/>
    <x v="2"/>
    <x v="2"/>
    <x v="0"/>
    <n v="2"/>
    <n v="1280"/>
    <n v="335.22"/>
  </r>
  <r>
    <x v="243"/>
    <x v="4"/>
    <x v="1"/>
    <x v="1"/>
    <n v="5"/>
    <n v="4295"/>
    <n v="414.42"/>
  </r>
  <r>
    <x v="659"/>
    <x v="0"/>
    <x v="0"/>
    <x v="2"/>
    <n v="6"/>
    <n v="4434"/>
    <n v="306.63"/>
  </r>
  <r>
    <x v="24"/>
    <x v="8"/>
    <x v="1"/>
    <x v="0"/>
    <n v="6"/>
    <n v="3816"/>
    <n v="623.78"/>
  </r>
  <r>
    <x v="549"/>
    <x v="4"/>
    <x v="1"/>
    <x v="1"/>
    <n v="7"/>
    <n v="6335"/>
    <n v="1137.08"/>
  </r>
  <r>
    <x v="599"/>
    <x v="1"/>
    <x v="1"/>
    <x v="3"/>
    <n v="3"/>
    <n v="315"/>
    <n v="78.41"/>
  </r>
  <r>
    <x v="492"/>
    <x v="3"/>
    <x v="2"/>
    <x v="1"/>
    <n v="2"/>
    <n v="626"/>
    <n v="168.82"/>
  </r>
  <r>
    <x v="324"/>
    <x v="5"/>
    <x v="2"/>
    <x v="2"/>
    <n v="1"/>
    <n v="1140"/>
    <n v="85.75"/>
  </r>
  <r>
    <x v="724"/>
    <x v="7"/>
    <x v="2"/>
    <x v="0"/>
    <n v="5"/>
    <n v="590"/>
    <n v="52.55"/>
  </r>
  <r>
    <x v="915"/>
    <x v="2"/>
    <x v="2"/>
    <x v="1"/>
    <n v="1"/>
    <n v="631"/>
    <n v="99.31"/>
  </r>
  <r>
    <x v="235"/>
    <x v="6"/>
    <x v="1"/>
    <x v="2"/>
    <n v="8"/>
    <n v="1944"/>
    <n v="134.94"/>
  </r>
  <r>
    <x v="153"/>
    <x v="7"/>
    <x v="2"/>
    <x v="0"/>
    <n v="6"/>
    <n v="5100"/>
    <n v="1461.79"/>
  </r>
  <r>
    <x v="902"/>
    <x v="8"/>
    <x v="1"/>
    <x v="2"/>
    <n v="6"/>
    <n v="1092"/>
    <n v="176.52"/>
  </r>
  <r>
    <x v="212"/>
    <x v="6"/>
    <x v="1"/>
    <x v="3"/>
    <n v="7"/>
    <n v="4662"/>
    <n v="1007.43"/>
  </r>
  <r>
    <x v="961"/>
    <x v="4"/>
    <x v="1"/>
    <x v="3"/>
    <n v="7"/>
    <n v="4312"/>
    <n v="1088.3399999999999"/>
  </r>
  <r>
    <x v="199"/>
    <x v="1"/>
    <x v="1"/>
    <x v="0"/>
    <n v="6"/>
    <n v="4056"/>
    <n v="815.1"/>
  </r>
  <r>
    <x v="962"/>
    <x v="4"/>
    <x v="1"/>
    <x v="0"/>
    <n v="3"/>
    <n v="534"/>
    <n v="120.53"/>
  </r>
  <r>
    <x v="70"/>
    <x v="0"/>
    <x v="0"/>
    <x v="2"/>
    <n v="5"/>
    <n v="3475"/>
    <n v="991.47"/>
  </r>
  <r>
    <x v="398"/>
    <x v="2"/>
    <x v="2"/>
    <x v="2"/>
    <n v="5"/>
    <n v="4880"/>
    <n v="829.03"/>
  </r>
  <r>
    <x v="876"/>
    <x v="2"/>
    <x v="2"/>
    <x v="3"/>
    <n v="8"/>
    <n v="8336"/>
    <n v="782.8"/>
  </r>
  <r>
    <x v="194"/>
    <x v="1"/>
    <x v="1"/>
    <x v="0"/>
    <n v="8"/>
    <n v="9232"/>
    <n v="490.66"/>
  </r>
  <r>
    <x v="804"/>
    <x v="7"/>
    <x v="2"/>
    <x v="2"/>
    <n v="3"/>
    <n v="2031"/>
    <n v="466.25"/>
  </r>
  <r>
    <x v="135"/>
    <x v="5"/>
    <x v="2"/>
    <x v="0"/>
    <n v="3"/>
    <n v="2412"/>
    <n v="640.35"/>
  </r>
  <r>
    <x v="963"/>
    <x v="7"/>
    <x v="2"/>
    <x v="1"/>
    <n v="1"/>
    <n v="1039"/>
    <n v="137.24"/>
  </r>
  <r>
    <x v="564"/>
    <x v="3"/>
    <x v="2"/>
    <x v="3"/>
    <n v="6"/>
    <n v="696"/>
    <n v="100.78"/>
  </r>
  <r>
    <x v="697"/>
    <x v="9"/>
    <x v="2"/>
    <x v="0"/>
    <n v="8"/>
    <n v="6160"/>
    <n v="1617.32"/>
  </r>
  <r>
    <x v="787"/>
    <x v="3"/>
    <x v="2"/>
    <x v="1"/>
    <n v="3"/>
    <n v="447"/>
    <n v="58.4"/>
  </r>
  <r>
    <x v="964"/>
    <x v="8"/>
    <x v="1"/>
    <x v="3"/>
    <n v="6"/>
    <n v="6102"/>
    <n v="364.82"/>
  </r>
  <r>
    <x v="840"/>
    <x v="3"/>
    <x v="2"/>
    <x v="2"/>
    <n v="9"/>
    <n v="5085"/>
    <n v="1372.83"/>
  </r>
  <r>
    <x v="797"/>
    <x v="9"/>
    <x v="2"/>
    <x v="0"/>
    <n v="7"/>
    <n v="3038"/>
    <n v="158.82"/>
  </r>
  <r>
    <x v="919"/>
    <x v="4"/>
    <x v="1"/>
    <x v="3"/>
    <n v="1"/>
    <n v="882"/>
    <n v="215.24"/>
  </r>
  <r>
    <x v="745"/>
    <x v="6"/>
    <x v="1"/>
    <x v="3"/>
    <n v="6"/>
    <n v="2490"/>
    <n v="720.06"/>
  </r>
  <r>
    <x v="965"/>
    <x v="3"/>
    <x v="2"/>
    <x v="0"/>
    <n v="1"/>
    <n v="635"/>
    <n v="101.09"/>
  </r>
  <r>
    <x v="528"/>
    <x v="9"/>
    <x v="2"/>
    <x v="1"/>
    <n v="1"/>
    <n v="1083"/>
    <n v="152.5"/>
  </r>
  <r>
    <x v="966"/>
    <x v="8"/>
    <x v="1"/>
    <x v="3"/>
    <n v="6"/>
    <n v="720"/>
    <n v="144.26"/>
  </r>
  <r>
    <x v="816"/>
    <x v="0"/>
    <x v="0"/>
    <x v="3"/>
    <n v="3"/>
    <n v="3111"/>
    <n v="382.52"/>
  </r>
  <r>
    <x v="584"/>
    <x v="5"/>
    <x v="2"/>
    <x v="0"/>
    <n v="6"/>
    <n v="1242"/>
    <n v="87.37"/>
  </r>
  <r>
    <x v="786"/>
    <x v="5"/>
    <x v="2"/>
    <x v="3"/>
    <n v="5"/>
    <n v="5845"/>
    <n v="978.75"/>
  </r>
  <r>
    <x v="46"/>
    <x v="5"/>
    <x v="2"/>
    <x v="3"/>
    <n v="1"/>
    <n v="835"/>
    <n v="131.69999999999999"/>
  </r>
  <r>
    <x v="967"/>
    <x v="6"/>
    <x v="1"/>
    <x v="2"/>
    <n v="2"/>
    <n v="2314"/>
    <n v="305.42"/>
  </r>
  <r>
    <x v="968"/>
    <x v="5"/>
    <x v="2"/>
    <x v="1"/>
    <n v="7"/>
    <n v="6041"/>
    <n v="776.09"/>
  </r>
  <r>
    <x v="510"/>
    <x v="1"/>
    <x v="1"/>
    <x v="0"/>
    <n v="3"/>
    <n v="369"/>
    <n v="19.22"/>
  </r>
  <r>
    <x v="209"/>
    <x v="2"/>
    <x v="2"/>
    <x v="3"/>
    <n v="5"/>
    <n v="1635"/>
    <n v="321.83999999999997"/>
  </r>
  <r>
    <x v="709"/>
    <x v="8"/>
    <x v="1"/>
    <x v="3"/>
    <n v="3"/>
    <n v="2067"/>
    <n v="465.39"/>
  </r>
  <r>
    <x v="969"/>
    <x v="7"/>
    <x v="2"/>
    <x v="3"/>
    <n v="6"/>
    <n v="7128"/>
    <n v="544.54"/>
  </r>
  <r>
    <x v="134"/>
    <x v="0"/>
    <x v="0"/>
    <x v="0"/>
    <n v="2"/>
    <n v="944"/>
    <n v="94.4"/>
  </r>
  <r>
    <x v="42"/>
    <x v="2"/>
    <x v="2"/>
    <x v="1"/>
    <n v="5"/>
    <n v="5160"/>
    <n v="698.15"/>
  </r>
  <r>
    <x v="316"/>
    <x v="7"/>
    <x v="2"/>
    <x v="3"/>
    <n v="8"/>
    <n v="8032"/>
    <n v="1987.82"/>
  </r>
  <r>
    <x v="877"/>
    <x v="3"/>
    <x v="2"/>
    <x v="2"/>
    <n v="2"/>
    <n v="376"/>
    <n v="99.16"/>
  </r>
  <r>
    <x v="936"/>
    <x v="7"/>
    <x v="2"/>
    <x v="2"/>
    <n v="7"/>
    <n v="4144"/>
    <n v="426.39"/>
  </r>
  <r>
    <x v="143"/>
    <x v="3"/>
    <x v="2"/>
    <x v="2"/>
    <n v="4"/>
    <n v="2228"/>
    <n v="293.25"/>
  </r>
  <r>
    <x v="872"/>
    <x v="2"/>
    <x v="2"/>
    <x v="3"/>
    <n v="1"/>
    <n v="1178"/>
    <n v="182.76"/>
  </r>
  <r>
    <x v="448"/>
    <x v="1"/>
    <x v="1"/>
    <x v="0"/>
    <n v="5"/>
    <n v="2505"/>
    <n v="303.61"/>
  </r>
  <r>
    <x v="970"/>
    <x v="5"/>
    <x v="2"/>
    <x v="3"/>
    <n v="4"/>
    <n v="1872"/>
    <n v="418.05"/>
  </r>
  <r>
    <x v="379"/>
    <x v="0"/>
    <x v="0"/>
    <x v="3"/>
    <n v="2"/>
    <n v="340"/>
    <n v="59.56"/>
  </r>
  <r>
    <x v="971"/>
    <x v="9"/>
    <x v="2"/>
    <x v="3"/>
    <n v="1"/>
    <n v="589"/>
    <n v="158.85"/>
  </r>
  <r>
    <x v="706"/>
    <x v="9"/>
    <x v="2"/>
    <x v="3"/>
    <n v="3"/>
    <n v="2598"/>
    <n v="560.82000000000005"/>
  </r>
  <r>
    <x v="958"/>
    <x v="2"/>
    <x v="2"/>
    <x v="0"/>
    <n v="1"/>
    <n v="502"/>
    <n v="92.31"/>
  </r>
  <r>
    <x v="450"/>
    <x v="9"/>
    <x v="2"/>
    <x v="2"/>
    <n v="3"/>
    <n v="3576"/>
    <n v="546.44000000000005"/>
  </r>
  <r>
    <x v="33"/>
    <x v="8"/>
    <x v="1"/>
    <x v="1"/>
    <n v="3"/>
    <n v="2412"/>
    <n v="468.27"/>
  </r>
  <r>
    <x v="363"/>
    <x v="0"/>
    <x v="0"/>
    <x v="3"/>
    <n v="5"/>
    <n v="1145"/>
    <n v="244.72"/>
  </r>
  <r>
    <x v="106"/>
    <x v="8"/>
    <x v="1"/>
    <x v="3"/>
    <n v="2"/>
    <n v="2116"/>
    <n v="159.30000000000001"/>
  </r>
  <r>
    <x v="877"/>
    <x v="9"/>
    <x v="2"/>
    <x v="0"/>
    <n v="1"/>
    <n v="707"/>
    <n v="100.16"/>
  </r>
  <r>
    <x v="455"/>
    <x v="1"/>
    <x v="1"/>
    <x v="2"/>
    <n v="9"/>
    <n v="657"/>
    <n v="109.39"/>
  </r>
  <r>
    <x v="859"/>
    <x v="9"/>
    <x v="2"/>
    <x v="2"/>
    <n v="5"/>
    <n v="5345"/>
    <n v="1060.46"/>
  </r>
  <r>
    <x v="739"/>
    <x v="2"/>
    <x v="2"/>
    <x v="2"/>
    <n v="8"/>
    <n v="4032"/>
    <n v="251.05"/>
  </r>
  <r>
    <x v="493"/>
    <x v="3"/>
    <x v="2"/>
    <x v="2"/>
    <n v="4"/>
    <n v="3840"/>
    <n v="552.57000000000005"/>
  </r>
  <r>
    <x v="744"/>
    <x v="6"/>
    <x v="1"/>
    <x v="1"/>
    <n v="5"/>
    <n v="575"/>
    <n v="47.35"/>
  </r>
  <r>
    <x v="622"/>
    <x v="9"/>
    <x v="2"/>
    <x v="3"/>
    <n v="9"/>
    <n v="9315"/>
    <n v="1808.68"/>
  </r>
  <r>
    <x v="890"/>
    <x v="1"/>
    <x v="1"/>
    <x v="1"/>
    <n v="7"/>
    <n v="3423"/>
    <n v="435.06"/>
  </r>
  <r>
    <x v="972"/>
    <x v="6"/>
    <x v="1"/>
    <x v="2"/>
    <n v="6"/>
    <n v="3942"/>
    <n v="748.74"/>
  </r>
  <r>
    <x v="903"/>
    <x v="9"/>
    <x v="2"/>
    <x v="2"/>
    <n v="2"/>
    <n v="574"/>
    <n v="70.16"/>
  </r>
  <r>
    <x v="712"/>
    <x v="4"/>
    <x v="1"/>
    <x v="0"/>
    <n v="6"/>
    <n v="3024"/>
    <n v="336.28"/>
  </r>
  <r>
    <x v="520"/>
    <x v="4"/>
    <x v="1"/>
    <x v="0"/>
    <n v="7"/>
    <n v="952"/>
    <n v="215.51"/>
  </r>
  <r>
    <x v="574"/>
    <x v="7"/>
    <x v="2"/>
    <x v="3"/>
    <n v="9"/>
    <n v="9090"/>
    <n v="937.69"/>
  </r>
  <r>
    <x v="148"/>
    <x v="2"/>
    <x v="2"/>
    <x v="3"/>
    <n v="2"/>
    <n v="1166"/>
    <n v="170.11"/>
  </r>
  <r>
    <x v="77"/>
    <x v="8"/>
    <x v="1"/>
    <x v="2"/>
    <n v="3"/>
    <n v="2925"/>
    <n v="433.95"/>
  </r>
  <r>
    <x v="132"/>
    <x v="3"/>
    <x v="2"/>
    <x v="2"/>
    <n v="5"/>
    <n v="3455"/>
    <n v="867.55"/>
  </r>
  <r>
    <x v="521"/>
    <x v="7"/>
    <x v="2"/>
    <x v="0"/>
    <n v="2"/>
    <n v="1614"/>
    <n v="331.3"/>
  </r>
  <r>
    <x v="852"/>
    <x v="1"/>
    <x v="1"/>
    <x v="3"/>
    <n v="7"/>
    <n v="1771"/>
    <n v="171.26"/>
  </r>
  <r>
    <x v="519"/>
    <x v="0"/>
    <x v="0"/>
    <x v="2"/>
    <n v="6"/>
    <n v="5658"/>
    <n v="1504.97"/>
  </r>
  <r>
    <x v="407"/>
    <x v="1"/>
    <x v="1"/>
    <x v="1"/>
    <n v="9"/>
    <n v="8460"/>
    <n v="1515.06"/>
  </r>
  <r>
    <x v="973"/>
    <x v="0"/>
    <x v="0"/>
    <x v="3"/>
    <n v="5"/>
    <n v="1925"/>
    <n v="570.92999999999995"/>
  </r>
  <r>
    <x v="542"/>
    <x v="9"/>
    <x v="2"/>
    <x v="0"/>
    <n v="6"/>
    <n v="2196"/>
    <n v="572.16999999999996"/>
  </r>
  <r>
    <x v="528"/>
    <x v="8"/>
    <x v="1"/>
    <x v="1"/>
    <n v="2"/>
    <n v="1696"/>
    <n v="500.56"/>
  </r>
  <r>
    <x v="974"/>
    <x v="0"/>
    <x v="0"/>
    <x v="2"/>
    <n v="9"/>
    <n v="6813"/>
    <n v="1966.66"/>
  </r>
  <r>
    <x v="975"/>
    <x v="8"/>
    <x v="1"/>
    <x v="0"/>
    <n v="5"/>
    <n v="3670"/>
    <n v="790.67"/>
  </r>
  <r>
    <x v="152"/>
    <x v="8"/>
    <x v="1"/>
    <x v="2"/>
    <n v="4"/>
    <n v="2936"/>
    <n v="204.55"/>
  </r>
  <r>
    <x v="778"/>
    <x v="6"/>
    <x v="1"/>
    <x v="3"/>
    <n v="5"/>
    <n v="5165"/>
    <n v="283.60000000000002"/>
  </r>
  <r>
    <x v="942"/>
    <x v="3"/>
    <x v="2"/>
    <x v="1"/>
    <n v="5"/>
    <n v="5940"/>
    <n v="467.31"/>
  </r>
  <r>
    <x v="606"/>
    <x v="5"/>
    <x v="2"/>
    <x v="1"/>
    <n v="6"/>
    <n v="2664"/>
    <n v="520.29999999999995"/>
  </r>
  <r>
    <x v="294"/>
    <x v="4"/>
    <x v="1"/>
    <x v="1"/>
    <n v="2"/>
    <n v="1198"/>
    <n v="134.38999999999999"/>
  </r>
  <r>
    <x v="589"/>
    <x v="4"/>
    <x v="1"/>
    <x v="0"/>
    <n v="4"/>
    <n v="1340"/>
    <n v="309.8"/>
  </r>
  <r>
    <x v="591"/>
    <x v="6"/>
    <x v="1"/>
    <x v="1"/>
    <n v="9"/>
    <n v="9657"/>
    <n v="1233.47"/>
  </r>
  <r>
    <x v="620"/>
    <x v="3"/>
    <x v="2"/>
    <x v="0"/>
    <n v="8"/>
    <n v="2592"/>
    <n v="191.66"/>
  </r>
  <r>
    <x v="174"/>
    <x v="3"/>
    <x v="2"/>
    <x v="3"/>
    <n v="4"/>
    <n v="1168"/>
    <n v="135.36000000000001"/>
  </r>
  <r>
    <x v="580"/>
    <x v="4"/>
    <x v="1"/>
    <x v="2"/>
    <n v="8"/>
    <n v="5920"/>
    <n v="1241.27"/>
  </r>
  <r>
    <x v="958"/>
    <x v="7"/>
    <x v="2"/>
    <x v="3"/>
    <n v="2"/>
    <n v="2260"/>
    <n v="268.47000000000003"/>
  </r>
  <r>
    <x v="910"/>
    <x v="0"/>
    <x v="0"/>
    <x v="3"/>
    <n v="8"/>
    <n v="7016"/>
    <n v="1490.07"/>
  </r>
  <r>
    <x v="181"/>
    <x v="4"/>
    <x v="1"/>
    <x v="0"/>
    <n v="6"/>
    <n v="546"/>
    <n v="79.94"/>
  </r>
  <r>
    <x v="976"/>
    <x v="9"/>
    <x v="2"/>
    <x v="1"/>
    <n v="1"/>
    <n v="839"/>
    <n v="228.72"/>
  </r>
  <r>
    <x v="751"/>
    <x v="2"/>
    <x v="2"/>
    <x v="2"/>
    <n v="8"/>
    <n v="5176"/>
    <n v="619.45000000000005"/>
  </r>
  <r>
    <x v="610"/>
    <x v="9"/>
    <x v="2"/>
    <x v="3"/>
    <n v="4"/>
    <n v="280"/>
    <n v="24.9"/>
  </r>
  <r>
    <x v="66"/>
    <x v="6"/>
    <x v="1"/>
    <x v="0"/>
    <n v="9"/>
    <n v="2097"/>
    <n v="210.59"/>
  </r>
  <r>
    <x v="342"/>
    <x v="1"/>
    <x v="1"/>
    <x v="3"/>
    <n v="6"/>
    <n v="4632"/>
    <n v="799.16"/>
  </r>
  <r>
    <x v="977"/>
    <x v="8"/>
    <x v="1"/>
    <x v="0"/>
    <n v="4"/>
    <n v="1088"/>
    <n v="283.61"/>
  </r>
  <r>
    <x v="652"/>
    <x v="3"/>
    <x v="2"/>
    <x v="0"/>
    <n v="2"/>
    <n v="1314"/>
    <n v="391.55"/>
  </r>
  <r>
    <x v="344"/>
    <x v="1"/>
    <x v="1"/>
    <x v="0"/>
    <n v="8"/>
    <n v="7960"/>
    <n v="804.11"/>
  </r>
  <r>
    <x v="424"/>
    <x v="0"/>
    <x v="0"/>
    <x v="0"/>
    <n v="8"/>
    <n v="2856"/>
    <n v="350.32"/>
  </r>
  <r>
    <x v="467"/>
    <x v="5"/>
    <x v="2"/>
    <x v="3"/>
    <n v="4"/>
    <n v="1680"/>
    <n v="385.92"/>
  </r>
  <r>
    <x v="211"/>
    <x v="6"/>
    <x v="1"/>
    <x v="0"/>
    <n v="4"/>
    <n v="4464"/>
    <n v="1069.6300000000001"/>
  </r>
  <r>
    <x v="682"/>
    <x v="7"/>
    <x v="2"/>
    <x v="1"/>
    <n v="6"/>
    <n v="2940"/>
    <n v="184.97"/>
  </r>
  <r>
    <x v="978"/>
    <x v="6"/>
    <x v="1"/>
    <x v="3"/>
    <n v="8"/>
    <n v="1272"/>
    <n v="344.45"/>
  </r>
  <r>
    <x v="546"/>
    <x v="0"/>
    <x v="0"/>
    <x v="1"/>
    <n v="6"/>
    <n v="1728"/>
    <n v="247.86"/>
  </r>
  <r>
    <x v="979"/>
    <x v="6"/>
    <x v="1"/>
    <x v="0"/>
    <n v="3"/>
    <n v="3153"/>
    <n v="563.55999999999995"/>
  </r>
  <r>
    <x v="628"/>
    <x v="7"/>
    <x v="2"/>
    <x v="3"/>
    <n v="4"/>
    <n v="2536"/>
    <n v="285.72000000000003"/>
  </r>
  <r>
    <x v="746"/>
    <x v="2"/>
    <x v="2"/>
    <x v="2"/>
    <n v="3"/>
    <n v="2508"/>
    <n v="431.53"/>
  </r>
  <r>
    <x v="941"/>
    <x v="2"/>
    <x v="2"/>
    <x v="1"/>
    <n v="1"/>
    <n v="123"/>
    <n v="12.36"/>
  </r>
  <r>
    <x v="924"/>
    <x v="7"/>
    <x v="2"/>
    <x v="2"/>
    <n v="3"/>
    <n v="2379"/>
    <n v="148.68"/>
  </r>
  <r>
    <x v="980"/>
    <x v="0"/>
    <x v="0"/>
    <x v="3"/>
    <n v="6"/>
    <n v="6924"/>
    <n v="1693.77"/>
  </r>
  <r>
    <x v="70"/>
    <x v="5"/>
    <x v="2"/>
    <x v="3"/>
    <n v="9"/>
    <n v="9054"/>
    <n v="644.36"/>
  </r>
  <r>
    <x v="856"/>
    <x v="3"/>
    <x v="2"/>
    <x v="2"/>
    <n v="9"/>
    <n v="9936"/>
    <n v="2797.45"/>
  </r>
  <r>
    <x v="981"/>
    <x v="7"/>
    <x v="2"/>
    <x v="1"/>
    <n v="1"/>
    <n v="393"/>
    <n v="41.05"/>
  </r>
  <r>
    <x v="315"/>
    <x v="0"/>
    <x v="0"/>
    <x v="1"/>
    <n v="2"/>
    <n v="308"/>
    <n v="35.32"/>
  </r>
  <r>
    <x v="756"/>
    <x v="2"/>
    <x v="2"/>
    <x v="2"/>
    <n v="5"/>
    <n v="4900"/>
    <n v="347.25"/>
  </r>
  <r>
    <x v="715"/>
    <x v="9"/>
    <x v="2"/>
    <x v="2"/>
    <n v="1"/>
    <n v="927"/>
    <n v="103.95"/>
  </r>
  <r>
    <x v="962"/>
    <x v="8"/>
    <x v="1"/>
    <x v="1"/>
    <n v="1"/>
    <n v="266"/>
    <n v="22.42"/>
  </r>
  <r>
    <x v="254"/>
    <x v="0"/>
    <x v="0"/>
    <x v="2"/>
    <n v="5"/>
    <n v="4750"/>
    <n v="1179.56"/>
  </r>
  <r>
    <x v="241"/>
    <x v="5"/>
    <x v="2"/>
    <x v="1"/>
    <n v="8"/>
    <n v="3272"/>
    <n v="460.82"/>
  </r>
  <r>
    <x v="901"/>
    <x v="1"/>
    <x v="1"/>
    <x v="1"/>
    <n v="5"/>
    <n v="4350"/>
    <n v="688.77"/>
  </r>
  <r>
    <x v="624"/>
    <x v="8"/>
    <x v="1"/>
    <x v="1"/>
    <n v="1"/>
    <n v="706"/>
    <n v="63.82"/>
  </r>
  <r>
    <x v="342"/>
    <x v="9"/>
    <x v="2"/>
    <x v="0"/>
    <n v="3"/>
    <n v="213"/>
    <n v="30.68"/>
  </r>
  <r>
    <x v="809"/>
    <x v="7"/>
    <x v="2"/>
    <x v="1"/>
    <n v="2"/>
    <n v="1614"/>
    <n v="376.31"/>
  </r>
  <r>
    <x v="977"/>
    <x v="1"/>
    <x v="1"/>
    <x v="3"/>
    <n v="8"/>
    <n v="6232"/>
    <n v="499.63"/>
  </r>
  <r>
    <x v="268"/>
    <x v="0"/>
    <x v="0"/>
    <x v="0"/>
    <n v="4"/>
    <n v="3864"/>
    <n v="717.45"/>
  </r>
  <r>
    <x v="982"/>
    <x v="4"/>
    <x v="1"/>
    <x v="2"/>
    <n v="3"/>
    <n v="2601"/>
    <n v="363.64"/>
  </r>
  <r>
    <x v="73"/>
    <x v="1"/>
    <x v="1"/>
    <x v="1"/>
    <n v="6"/>
    <n v="4944"/>
    <n v="758.46"/>
  </r>
  <r>
    <x v="974"/>
    <x v="0"/>
    <x v="0"/>
    <x v="2"/>
    <n v="4"/>
    <n v="4680"/>
    <n v="301.91000000000003"/>
  </r>
  <r>
    <x v="196"/>
    <x v="1"/>
    <x v="1"/>
    <x v="2"/>
    <n v="8"/>
    <n v="2112"/>
    <n v="418.58"/>
  </r>
  <r>
    <x v="163"/>
    <x v="6"/>
    <x v="1"/>
    <x v="1"/>
    <n v="6"/>
    <n v="7140"/>
    <n v="869.93"/>
  </r>
  <r>
    <x v="834"/>
    <x v="8"/>
    <x v="1"/>
    <x v="1"/>
    <n v="1"/>
    <n v="750"/>
    <n v="37.97"/>
  </r>
  <r>
    <x v="209"/>
    <x v="1"/>
    <x v="1"/>
    <x v="1"/>
    <n v="4"/>
    <n v="392"/>
    <n v="39.229999999999997"/>
  </r>
  <r>
    <x v="710"/>
    <x v="9"/>
    <x v="2"/>
    <x v="2"/>
    <n v="4"/>
    <n v="2408"/>
    <n v="721.8"/>
  </r>
  <r>
    <x v="280"/>
    <x v="6"/>
    <x v="1"/>
    <x v="1"/>
    <n v="2"/>
    <n v="2016"/>
    <n v="151.4"/>
  </r>
  <r>
    <x v="879"/>
    <x v="6"/>
    <x v="1"/>
    <x v="2"/>
    <n v="4"/>
    <n v="464"/>
    <n v="47.93"/>
  </r>
  <r>
    <x v="644"/>
    <x v="4"/>
    <x v="1"/>
    <x v="1"/>
    <n v="1"/>
    <n v="832"/>
    <n v="227.11"/>
  </r>
  <r>
    <x v="376"/>
    <x v="4"/>
    <x v="1"/>
    <x v="1"/>
    <n v="8"/>
    <n v="1296"/>
    <n v="374.8"/>
  </r>
  <r>
    <x v="472"/>
    <x v="7"/>
    <x v="2"/>
    <x v="1"/>
    <n v="1"/>
    <n v="300"/>
    <n v="45.81"/>
  </r>
  <r>
    <x v="983"/>
    <x v="6"/>
    <x v="1"/>
    <x v="0"/>
    <n v="6"/>
    <n v="2856"/>
    <n v="226.53"/>
  </r>
  <r>
    <x v="901"/>
    <x v="2"/>
    <x v="2"/>
    <x v="3"/>
    <n v="5"/>
    <n v="3380"/>
    <n v="287.05"/>
  </r>
  <r>
    <x v="45"/>
    <x v="2"/>
    <x v="2"/>
    <x v="0"/>
    <n v="5"/>
    <n v="400"/>
    <n v="86.52"/>
  </r>
  <r>
    <x v="634"/>
    <x v="3"/>
    <x v="2"/>
    <x v="0"/>
    <n v="1"/>
    <n v="722"/>
    <n v="49.7"/>
  </r>
  <r>
    <x v="862"/>
    <x v="9"/>
    <x v="2"/>
    <x v="2"/>
    <n v="4"/>
    <n v="4596"/>
    <n v="947.45"/>
  </r>
  <r>
    <x v="984"/>
    <x v="8"/>
    <x v="1"/>
    <x v="3"/>
    <n v="8"/>
    <n v="1176"/>
    <n v="313.58"/>
  </r>
  <r>
    <x v="155"/>
    <x v="3"/>
    <x v="2"/>
    <x v="0"/>
    <n v="2"/>
    <n v="644"/>
    <n v="45.72"/>
  </r>
  <r>
    <x v="256"/>
    <x v="7"/>
    <x v="2"/>
    <x v="3"/>
    <n v="8"/>
    <n v="544"/>
    <n v="40.78"/>
  </r>
  <r>
    <x v="985"/>
    <x v="6"/>
    <x v="1"/>
    <x v="1"/>
    <n v="2"/>
    <n v="586"/>
    <n v="101.64"/>
  </r>
  <r>
    <x v="881"/>
    <x v="8"/>
    <x v="1"/>
    <x v="0"/>
    <n v="5"/>
    <n v="3835"/>
    <n v="229.11"/>
  </r>
  <r>
    <x v="841"/>
    <x v="0"/>
    <x v="0"/>
    <x v="2"/>
    <n v="5"/>
    <n v="1415"/>
    <n v="358.39"/>
  </r>
  <r>
    <x v="742"/>
    <x v="8"/>
    <x v="1"/>
    <x v="2"/>
    <n v="9"/>
    <n v="1125"/>
    <n v="138.49"/>
  </r>
  <r>
    <x v="513"/>
    <x v="3"/>
    <x v="2"/>
    <x v="2"/>
    <n v="3"/>
    <n v="3399"/>
    <n v="489.36"/>
  </r>
  <r>
    <x v="204"/>
    <x v="6"/>
    <x v="1"/>
    <x v="1"/>
    <n v="6"/>
    <n v="5370"/>
    <n v="1501.06"/>
  </r>
  <r>
    <x v="301"/>
    <x v="8"/>
    <x v="1"/>
    <x v="3"/>
    <n v="3"/>
    <n v="2331"/>
    <n v="419.26"/>
  </r>
  <r>
    <x v="777"/>
    <x v="9"/>
    <x v="2"/>
    <x v="1"/>
    <n v="9"/>
    <n v="10728"/>
    <n v="1967.84"/>
  </r>
  <r>
    <x v="885"/>
    <x v="6"/>
    <x v="1"/>
    <x v="3"/>
    <n v="8"/>
    <n v="9056"/>
    <n v="1860.37"/>
  </r>
  <r>
    <x v="143"/>
    <x v="6"/>
    <x v="1"/>
    <x v="3"/>
    <n v="9"/>
    <n v="4581"/>
    <n v="250.06"/>
  </r>
  <r>
    <x v="244"/>
    <x v="3"/>
    <x v="2"/>
    <x v="0"/>
    <n v="3"/>
    <n v="1074"/>
    <n v="240.44"/>
  </r>
  <r>
    <x v="427"/>
    <x v="2"/>
    <x v="2"/>
    <x v="3"/>
    <n v="4"/>
    <n v="4572"/>
    <n v="1199.49"/>
  </r>
  <r>
    <x v="159"/>
    <x v="9"/>
    <x v="2"/>
    <x v="2"/>
    <n v="7"/>
    <n v="8141"/>
    <n v="651.16"/>
  </r>
  <r>
    <x v="661"/>
    <x v="0"/>
    <x v="0"/>
    <x v="3"/>
    <n v="4"/>
    <n v="604"/>
    <n v="180.93"/>
  </r>
  <r>
    <x v="28"/>
    <x v="1"/>
    <x v="1"/>
    <x v="2"/>
    <n v="2"/>
    <n v="906"/>
    <n v="59.06"/>
  </r>
  <r>
    <x v="986"/>
    <x v="4"/>
    <x v="1"/>
    <x v="2"/>
    <n v="7"/>
    <n v="1582"/>
    <n v="278.14"/>
  </r>
  <r>
    <x v="76"/>
    <x v="1"/>
    <x v="1"/>
    <x v="3"/>
    <n v="6"/>
    <n v="3306"/>
    <n v="216.91"/>
  </r>
  <r>
    <x v="161"/>
    <x v="4"/>
    <x v="1"/>
    <x v="3"/>
    <n v="1"/>
    <n v="847"/>
    <n v="237.41"/>
  </r>
  <r>
    <x v="987"/>
    <x v="0"/>
    <x v="0"/>
    <x v="1"/>
    <n v="6"/>
    <n v="3222"/>
    <n v="846.27"/>
  </r>
  <r>
    <x v="327"/>
    <x v="8"/>
    <x v="1"/>
    <x v="1"/>
    <n v="3"/>
    <n v="189"/>
    <n v="33.94"/>
  </r>
  <r>
    <x v="212"/>
    <x v="9"/>
    <x v="2"/>
    <x v="2"/>
    <n v="4"/>
    <n v="1224"/>
    <n v="348.91"/>
  </r>
  <r>
    <x v="929"/>
    <x v="3"/>
    <x v="2"/>
    <x v="2"/>
    <n v="7"/>
    <n v="5621"/>
    <n v="1390.73"/>
  </r>
  <r>
    <x v="750"/>
    <x v="2"/>
    <x v="2"/>
    <x v="3"/>
    <n v="6"/>
    <n v="966"/>
    <n v="246.21"/>
  </r>
  <r>
    <x v="786"/>
    <x v="2"/>
    <x v="2"/>
    <x v="3"/>
    <n v="9"/>
    <n v="1728"/>
    <n v="179.64"/>
  </r>
  <r>
    <x v="791"/>
    <x v="1"/>
    <x v="1"/>
    <x v="3"/>
    <n v="9"/>
    <n v="6138"/>
    <n v="1478.57"/>
  </r>
  <r>
    <x v="211"/>
    <x v="6"/>
    <x v="1"/>
    <x v="2"/>
    <n v="4"/>
    <n v="964"/>
    <n v="184.03"/>
  </r>
  <r>
    <x v="533"/>
    <x v="7"/>
    <x v="2"/>
    <x v="2"/>
    <n v="7"/>
    <n v="4697"/>
    <n v="976.26"/>
  </r>
  <r>
    <x v="255"/>
    <x v="7"/>
    <x v="2"/>
    <x v="3"/>
    <n v="2"/>
    <n v="1232"/>
    <n v="155.52000000000001"/>
  </r>
  <r>
    <x v="981"/>
    <x v="6"/>
    <x v="1"/>
    <x v="3"/>
    <n v="7"/>
    <n v="6384"/>
    <n v="734.79"/>
  </r>
  <r>
    <x v="988"/>
    <x v="1"/>
    <x v="1"/>
    <x v="3"/>
    <n v="4"/>
    <n v="780"/>
    <n v="162.72"/>
  </r>
  <r>
    <x v="760"/>
    <x v="0"/>
    <x v="0"/>
    <x v="3"/>
    <n v="4"/>
    <n v="1256"/>
    <n v="362.22"/>
  </r>
  <r>
    <x v="176"/>
    <x v="1"/>
    <x v="1"/>
    <x v="2"/>
    <n v="1"/>
    <n v="1162"/>
    <n v="220.93"/>
  </r>
  <r>
    <x v="291"/>
    <x v="1"/>
    <x v="1"/>
    <x v="2"/>
    <n v="8"/>
    <n v="7520"/>
    <n v="995.03"/>
  </r>
  <r>
    <x v="38"/>
    <x v="4"/>
    <x v="1"/>
    <x v="2"/>
    <n v="7"/>
    <n v="2387"/>
    <n v="463.92"/>
  </r>
  <r>
    <x v="85"/>
    <x v="8"/>
    <x v="1"/>
    <x v="1"/>
    <n v="8"/>
    <n v="2256"/>
    <n v="316.77"/>
  </r>
  <r>
    <x v="151"/>
    <x v="6"/>
    <x v="1"/>
    <x v="0"/>
    <n v="8"/>
    <n v="7792"/>
    <n v="913.12"/>
  </r>
  <r>
    <x v="947"/>
    <x v="9"/>
    <x v="2"/>
    <x v="1"/>
    <n v="8"/>
    <n v="3944"/>
    <n v="296.35000000000002"/>
  </r>
  <r>
    <x v="232"/>
    <x v="7"/>
    <x v="2"/>
    <x v="2"/>
    <n v="2"/>
    <n v="822"/>
    <n v="183.45"/>
  </r>
  <r>
    <x v="295"/>
    <x v="4"/>
    <x v="1"/>
    <x v="0"/>
    <n v="3"/>
    <n v="1962"/>
    <n v="469.94"/>
  </r>
  <r>
    <x v="981"/>
    <x v="0"/>
    <x v="0"/>
    <x v="0"/>
    <n v="4"/>
    <n v="1016"/>
    <n v="269.88"/>
  </r>
  <r>
    <x v="657"/>
    <x v="2"/>
    <x v="2"/>
    <x v="0"/>
    <n v="2"/>
    <n v="1980"/>
    <n v="125.99"/>
  </r>
  <r>
    <x v="982"/>
    <x v="4"/>
    <x v="1"/>
    <x v="3"/>
    <n v="4"/>
    <n v="3996"/>
    <n v="965.26"/>
  </r>
  <r>
    <x v="222"/>
    <x v="5"/>
    <x v="2"/>
    <x v="0"/>
    <n v="1"/>
    <n v="663"/>
    <n v="183.82"/>
  </r>
  <r>
    <x v="19"/>
    <x v="9"/>
    <x v="2"/>
    <x v="2"/>
    <n v="1"/>
    <n v="575"/>
    <n v="104.31"/>
  </r>
  <r>
    <x v="339"/>
    <x v="2"/>
    <x v="2"/>
    <x v="2"/>
    <n v="1"/>
    <n v="187"/>
    <n v="33.76"/>
  </r>
  <r>
    <x v="598"/>
    <x v="2"/>
    <x v="2"/>
    <x v="1"/>
    <n v="7"/>
    <n v="6216"/>
    <n v="378.24"/>
  </r>
  <r>
    <x v="408"/>
    <x v="3"/>
    <x v="2"/>
    <x v="2"/>
    <n v="1"/>
    <n v="189"/>
    <n v="19.02"/>
  </r>
  <r>
    <x v="581"/>
    <x v="2"/>
    <x v="2"/>
    <x v="2"/>
    <n v="2"/>
    <n v="358"/>
    <n v="41.46"/>
  </r>
  <r>
    <x v="118"/>
    <x v="8"/>
    <x v="1"/>
    <x v="0"/>
    <n v="6"/>
    <n v="6192"/>
    <n v="316.23"/>
  </r>
  <r>
    <x v="40"/>
    <x v="2"/>
    <x v="2"/>
    <x v="1"/>
    <n v="7"/>
    <n v="4382"/>
    <n v="592.46"/>
  </r>
  <r>
    <x v="836"/>
    <x v="8"/>
    <x v="1"/>
    <x v="1"/>
    <n v="2"/>
    <n v="1122"/>
    <n v="100.78"/>
  </r>
  <r>
    <x v="925"/>
    <x v="9"/>
    <x v="2"/>
    <x v="0"/>
    <n v="8"/>
    <n v="8192"/>
    <n v="2081.7199999999998"/>
  </r>
  <r>
    <x v="326"/>
    <x v="9"/>
    <x v="2"/>
    <x v="2"/>
    <n v="6"/>
    <n v="2658"/>
    <n v="200.79"/>
  </r>
  <r>
    <x v="278"/>
    <x v="2"/>
    <x v="2"/>
    <x v="3"/>
    <n v="6"/>
    <n v="606"/>
    <n v="127.68"/>
  </r>
  <r>
    <x v="795"/>
    <x v="6"/>
    <x v="1"/>
    <x v="2"/>
    <n v="8"/>
    <n v="448"/>
    <n v="45.43"/>
  </r>
  <r>
    <x v="386"/>
    <x v="0"/>
    <x v="0"/>
    <x v="0"/>
    <n v="3"/>
    <n v="1674"/>
    <n v="435.95"/>
  </r>
  <r>
    <x v="516"/>
    <x v="2"/>
    <x v="2"/>
    <x v="2"/>
    <n v="6"/>
    <n v="1944"/>
    <n v="366.18"/>
  </r>
  <r>
    <x v="736"/>
    <x v="6"/>
    <x v="1"/>
    <x v="2"/>
    <n v="6"/>
    <n v="1716"/>
    <n v="302.08999999999997"/>
  </r>
  <r>
    <x v="582"/>
    <x v="3"/>
    <x v="2"/>
    <x v="2"/>
    <n v="6"/>
    <n v="2982"/>
    <n v="445.01"/>
  </r>
  <r>
    <x v="201"/>
    <x v="9"/>
    <x v="2"/>
    <x v="0"/>
    <n v="9"/>
    <n v="7497"/>
    <n v="2241.59"/>
  </r>
  <r>
    <x v="611"/>
    <x v="4"/>
    <x v="1"/>
    <x v="2"/>
    <n v="3"/>
    <n v="1026"/>
    <n v="142.71"/>
  </r>
  <r>
    <x v="731"/>
    <x v="9"/>
    <x v="2"/>
    <x v="2"/>
    <n v="7"/>
    <n v="7392"/>
    <n v="2063.23"/>
  </r>
  <r>
    <x v="172"/>
    <x v="0"/>
    <x v="0"/>
    <x v="0"/>
    <n v="4"/>
    <n v="2604"/>
    <n v="271.22000000000003"/>
  </r>
  <r>
    <x v="962"/>
    <x v="5"/>
    <x v="2"/>
    <x v="0"/>
    <n v="6"/>
    <n v="1746"/>
    <n v="289.2"/>
  </r>
  <r>
    <x v="838"/>
    <x v="4"/>
    <x v="1"/>
    <x v="3"/>
    <n v="6"/>
    <n v="5682"/>
    <n v="1365.87"/>
  </r>
  <r>
    <x v="887"/>
    <x v="1"/>
    <x v="1"/>
    <x v="0"/>
    <n v="8"/>
    <n v="8664"/>
    <n v="2131.16"/>
  </r>
  <r>
    <x v="596"/>
    <x v="2"/>
    <x v="2"/>
    <x v="3"/>
    <n v="3"/>
    <n v="1887"/>
    <n v="363.42"/>
  </r>
  <r>
    <x v="774"/>
    <x v="7"/>
    <x v="2"/>
    <x v="1"/>
    <n v="7"/>
    <n v="6013"/>
    <n v="1544.51"/>
  </r>
  <r>
    <x v="638"/>
    <x v="5"/>
    <x v="2"/>
    <x v="0"/>
    <n v="2"/>
    <n v="1578"/>
    <n v="463.58"/>
  </r>
  <r>
    <x v="688"/>
    <x v="3"/>
    <x v="2"/>
    <x v="2"/>
    <n v="3"/>
    <n v="285"/>
    <n v="38.369999999999997"/>
  </r>
  <r>
    <x v="760"/>
    <x v="9"/>
    <x v="2"/>
    <x v="3"/>
    <n v="6"/>
    <n v="5448"/>
    <n v="963.82"/>
  </r>
  <r>
    <x v="27"/>
    <x v="0"/>
    <x v="0"/>
    <x v="1"/>
    <n v="2"/>
    <n v="1710"/>
    <n v="468.76"/>
  </r>
  <r>
    <x v="236"/>
    <x v="8"/>
    <x v="1"/>
    <x v="3"/>
    <n v="9"/>
    <n v="2817"/>
    <n v="432.67"/>
  </r>
  <r>
    <x v="584"/>
    <x v="7"/>
    <x v="2"/>
    <x v="1"/>
    <n v="9"/>
    <n v="9117"/>
    <n v="1780.52"/>
  </r>
  <r>
    <x v="479"/>
    <x v="5"/>
    <x v="2"/>
    <x v="2"/>
    <n v="2"/>
    <n v="274"/>
    <n v="42.37"/>
  </r>
  <r>
    <x v="889"/>
    <x v="8"/>
    <x v="1"/>
    <x v="2"/>
    <n v="6"/>
    <n v="6408"/>
    <n v="885.71"/>
  </r>
  <r>
    <x v="967"/>
    <x v="8"/>
    <x v="1"/>
    <x v="3"/>
    <n v="5"/>
    <n v="5755"/>
    <n v="1441.84"/>
  </r>
  <r>
    <x v="989"/>
    <x v="2"/>
    <x v="2"/>
    <x v="3"/>
    <n v="3"/>
    <n v="2262"/>
    <n v="245.66"/>
  </r>
  <r>
    <x v="410"/>
    <x v="4"/>
    <x v="1"/>
    <x v="1"/>
    <n v="7"/>
    <n v="1785"/>
    <n v="233.77"/>
  </r>
  <r>
    <x v="68"/>
    <x v="0"/>
    <x v="0"/>
    <x v="0"/>
    <n v="8"/>
    <n v="5128"/>
    <n v="657.87"/>
  </r>
  <r>
    <x v="990"/>
    <x v="3"/>
    <x v="2"/>
    <x v="2"/>
    <n v="8"/>
    <n v="5176"/>
    <n v="1400.82"/>
  </r>
  <r>
    <x v="991"/>
    <x v="8"/>
    <x v="1"/>
    <x v="0"/>
    <n v="5"/>
    <n v="1510"/>
    <n v="331.76"/>
  </r>
  <r>
    <x v="278"/>
    <x v="8"/>
    <x v="1"/>
    <x v="0"/>
    <n v="1"/>
    <n v="947"/>
    <n v="77.209999999999994"/>
  </r>
  <r>
    <x v="383"/>
    <x v="7"/>
    <x v="2"/>
    <x v="0"/>
    <n v="9"/>
    <n v="5427"/>
    <n v="731.33"/>
  </r>
  <r>
    <x v="584"/>
    <x v="5"/>
    <x v="2"/>
    <x v="2"/>
    <n v="4"/>
    <n v="4560"/>
    <n v="507.87"/>
  </r>
  <r>
    <x v="318"/>
    <x v="2"/>
    <x v="2"/>
    <x v="2"/>
    <n v="6"/>
    <n v="2100"/>
    <n v="268.39999999999998"/>
  </r>
  <r>
    <x v="870"/>
    <x v="9"/>
    <x v="2"/>
    <x v="0"/>
    <n v="1"/>
    <n v="1054"/>
    <n v="288.14999999999998"/>
  </r>
  <r>
    <x v="480"/>
    <x v="5"/>
    <x v="2"/>
    <x v="3"/>
    <n v="6"/>
    <n v="7026"/>
    <n v="1814.21"/>
  </r>
  <r>
    <x v="992"/>
    <x v="3"/>
    <x v="2"/>
    <x v="0"/>
    <n v="9"/>
    <n v="513"/>
    <n v="151.87"/>
  </r>
  <r>
    <x v="423"/>
    <x v="4"/>
    <x v="1"/>
    <x v="2"/>
    <n v="2"/>
    <n v="2244"/>
    <n v="353.83"/>
  </r>
  <r>
    <x v="932"/>
    <x v="7"/>
    <x v="2"/>
    <x v="0"/>
    <n v="5"/>
    <n v="1785"/>
    <n v="134.94999999999999"/>
  </r>
  <r>
    <x v="96"/>
    <x v="8"/>
    <x v="1"/>
    <x v="2"/>
    <n v="5"/>
    <n v="725"/>
    <n v="77.91"/>
  </r>
  <r>
    <x v="880"/>
    <x v="7"/>
    <x v="2"/>
    <x v="0"/>
    <n v="4"/>
    <n v="2516"/>
    <n v="689.29"/>
  </r>
  <r>
    <x v="377"/>
    <x v="6"/>
    <x v="1"/>
    <x v="1"/>
    <n v="8"/>
    <n v="6256"/>
    <n v="1152.99"/>
  </r>
  <r>
    <x v="223"/>
    <x v="3"/>
    <x v="2"/>
    <x v="0"/>
    <n v="2"/>
    <n v="452"/>
    <n v="74.34"/>
  </r>
  <r>
    <x v="408"/>
    <x v="9"/>
    <x v="2"/>
    <x v="2"/>
    <n v="7"/>
    <n v="5285"/>
    <n v="1338.58"/>
  </r>
  <r>
    <x v="569"/>
    <x v="7"/>
    <x v="2"/>
    <x v="0"/>
    <n v="6"/>
    <n v="4872"/>
    <n v="786.79"/>
  </r>
  <r>
    <x v="858"/>
    <x v="8"/>
    <x v="1"/>
    <x v="1"/>
    <n v="5"/>
    <n v="2495"/>
    <n v="164.56"/>
  </r>
  <r>
    <x v="273"/>
    <x v="6"/>
    <x v="1"/>
    <x v="3"/>
    <n v="1"/>
    <n v="442"/>
    <n v="82.73"/>
  </r>
  <r>
    <x v="545"/>
    <x v="0"/>
    <x v="0"/>
    <x v="1"/>
    <n v="9"/>
    <n v="8595"/>
    <n v="1312.19"/>
  </r>
  <r>
    <x v="183"/>
    <x v="8"/>
    <x v="1"/>
    <x v="1"/>
    <n v="4"/>
    <n v="3528"/>
    <n v="411.5"/>
  </r>
  <r>
    <x v="428"/>
    <x v="9"/>
    <x v="2"/>
    <x v="0"/>
    <n v="7"/>
    <n v="7777"/>
    <n v="746.84"/>
  </r>
  <r>
    <x v="861"/>
    <x v="5"/>
    <x v="2"/>
    <x v="2"/>
    <n v="4"/>
    <n v="2008"/>
    <n v="451.68"/>
  </r>
  <r>
    <x v="806"/>
    <x v="1"/>
    <x v="1"/>
    <x v="0"/>
    <n v="2"/>
    <n v="596"/>
    <n v="41.37"/>
  </r>
  <r>
    <x v="366"/>
    <x v="5"/>
    <x v="2"/>
    <x v="1"/>
    <n v="9"/>
    <n v="4950"/>
    <n v="1402.67"/>
  </r>
  <r>
    <x v="821"/>
    <x v="8"/>
    <x v="1"/>
    <x v="2"/>
    <n v="2"/>
    <n v="630"/>
    <n v="86.07"/>
  </r>
  <r>
    <x v="528"/>
    <x v="3"/>
    <x v="2"/>
    <x v="0"/>
    <n v="6"/>
    <n v="6144"/>
    <n v="754.18"/>
  </r>
  <r>
    <x v="963"/>
    <x v="6"/>
    <x v="1"/>
    <x v="0"/>
    <n v="1"/>
    <n v="140"/>
    <n v="24.21"/>
  </r>
  <r>
    <x v="475"/>
    <x v="4"/>
    <x v="1"/>
    <x v="1"/>
    <n v="2"/>
    <n v="2014"/>
    <n v="215.06"/>
  </r>
  <r>
    <x v="933"/>
    <x v="1"/>
    <x v="1"/>
    <x v="3"/>
    <n v="2"/>
    <n v="384"/>
    <n v="99.02"/>
  </r>
  <r>
    <x v="842"/>
    <x v="0"/>
    <x v="0"/>
    <x v="1"/>
    <n v="7"/>
    <n v="3780"/>
    <n v="351.51"/>
  </r>
  <r>
    <x v="993"/>
    <x v="6"/>
    <x v="1"/>
    <x v="3"/>
    <n v="7"/>
    <n v="5047"/>
    <n v="915.75"/>
  </r>
  <r>
    <x v="866"/>
    <x v="4"/>
    <x v="1"/>
    <x v="2"/>
    <n v="3"/>
    <n v="2658"/>
    <n v="175.89"/>
  </r>
  <r>
    <x v="662"/>
    <x v="1"/>
    <x v="1"/>
    <x v="3"/>
    <n v="8"/>
    <n v="528"/>
    <n v="53.91"/>
  </r>
  <r>
    <x v="994"/>
    <x v="8"/>
    <x v="1"/>
    <x v="1"/>
    <n v="9"/>
    <n v="6507"/>
    <n v="1045.1400000000001"/>
  </r>
  <r>
    <x v="642"/>
    <x v="3"/>
    <x v="2"/>
    <x v="2"/>
    <n v="7"/>
    <n v="5887"/>
    <n v="1035.5"/>
  </r>
  <r>
    <x v="162"/>
    <x v="4"/>
    <x v="1"/>
    <x v="1"/>
    <n v="8"/>
    <n v="8224"/>
    <n v="1679.16"/>
  </r>
  <r>
    <x v="655"/>
    <x v="9"/>
    <x v="2"/>
    <x v="2"/>
    <n v="3"/>
    <n v="723"/>
    <n v="115.25"/>
  </r>
  <r>
    <x v="937"/>
    <x v="1"/>
    <x v="1"/>
    <x v="0"/>
    <n v="2"/>
    <n v="2272"/>
    <n v="504.72"/>
  </r>
  <r>
    <x v="995"/>
    <x v="8"/>
    <x v="1"/>
    <x v="1"/>
    <n v="9"/>
    <n v="8640"/>
    <n v="1963.34"/>
  </r>
  <r>
    <x v="496"/>
    <x v="3"/>
    <x v="2"/>
    <x v="0"/>
    <n v="8"/>
    <n v="2984"/>
    <n v="631.80999999999995"/>
  </r>
  <r>
    <x v="503"/>
    <x v="7"/>
    <x v="2"/>
    <x v="1"/>
    <n v="2"/>
    <n v="606"/>
    <n v="150.94999999999999"/>
  </r>
  <r>
    <x v="183"/>
    <x v="6"/>
    <x v="1"/>
    <x v="3"/>
    <n v="2"/>
    <n v="170"/>
    <n v="48.69"/>
  </r>
  <r>
    <x v="996"/>
    <x v="4"/>
    <x v="1"/>
    <x v="1"/>
    <n v="9"/>
    <n v="5283"/>
    <n v="1550.3"/>
  </r>
  <r>
    <x v="946"/>
    <x v="5"/>
    <x v="2"/>
    <x v="3"/>
    <n v="6"/>
    <n v="1350"/>
    <n v="356.88"/>
  </r>
  <r>
    <x v="380"/>
    <x v="4"/>
    <x v="1"/>
    <x v="2"/>
    <n v="4"/>
    <n v="2500"/>
    <n v="467.34"/>
  </r>
  <r>
    <x v="691"/>
    <x v="3"/>
    <x v="2"/>
    <x v="0"/>
    <n v="4"/>
    <n v="4648"/>
    <n v="689.85"/>
  </r>
  <r>
    <x v="722"/>
    <x v="0"/>
    <x v="0"/>
    <x v="0"/>
    <n v="5"/>
    <n v="650"/>
    <n v="93.41"/>
  </r>
  <r>
    <x v="415"/>
    <x v="6"/>
    <x v="1"/>
    <x v="0"/>
    <n v="2"/>
    <n v="1538"/>
    <n v="97.15"/>
  </r>
  <r>
    <x v="689"/>
    <x v="5"/>
    <x v="2"/>
    <x v="1"/>
    <n v="4"/>
    <n v="3928"/>
    <n v="325.32"/>
  </r>
  <r>
    <x v="510"/>
    <x v="4"/>
    <x v="1"/>
    <x v="0"/>
    <n v="2"/>
    <n v="2258"/>
    <n v="175.86"/>
  </r>
  <r>
    <x v="317"/>
    <x v="6"/>
    <x v="1"/>
    <x v="3"/>
    <n v="9"/>
    <n v="2988"/>
    <n v="447.93"/>
  </r>
  <r>
    <x v="529"/>
    <x v="4"/>
    <x v="1"/>
    <x v="2"/>
    <n v="8"/>
    <n v="4136"/>
    <n v="810.82"/>
  </r>
  <r>
    <x v="708"/>
    <x v="1"/>
    <x v="1"/>
    <x v="2"/>
    <n v="7"/>
    <n v="3605"/>
    <n v="387.82"/>
  </r>
  <r>
    <x v="966"/>
    <x v="5"/>
    <x v="2"/>
    <x v="3"/>
    <n v="3"/>
    <n v="1656"/>
    <n v="469.28"/>
  </r>
  <r>
    <x v="997"/>
    <x v="0"/>
    <x v="0"/>
    <x v="3"/>
    <n v="8"/>
    <n v="7072"/>
    <n v="2113.06"/>
  </r>
  <r>
    <x v="235"/>
    <x v="8"/>
    <x v="1"/>
    <x v="2"/>
    <n v="8"/>
    <n v="5368"/>
    <n v="542.52"/>
  </r>
  <r>
    <x v="31"/>
    <x v="9"/>
    <x v="2"/>
    <x v="1"/>
    <n v="4"/>
    <n v="1356"/>
    <n v="374.79"/>
  </r>
  <r>
    <x v="697"/>
    <x v="0"/>
    <x v="0"/>
    <x v="2"/>
    <n v="6"/>
    <n v="1326"/>
    <n v="338.66"/>
  </r>
  <r>
    <x v="756"/>
    <x v="0"/>
    <x v="0"/>
    <x v="1"/>
    <n v="1"/>
    <n v="730"/>
    <n v="55.72"/>
  </r>
  <r>
    <x v="870"/>
    <x v="4"/>
    <x v="1"/>
    <x v="2"/>
    <n v="4"/>
    <n v="4664"/>
    <n v="294.05"/>
  </r>
  <r>
    <x v="10"/>
    <x v="9"/>
    <x v="2"/>
    <x v="0"/>
    <n v="8"/>
    <n v="3528"/>
    <n v="593.11"/>
  </r>
  <r>
    <x v="569"/>
    <x v="1"/>
    <x v="1"/>
    <x v="3"/>
    <n v="3"/>
    <n v="1497"/>
    <n v="190.59"/>
  </r>
  <r>
    <x v="364"/>
    <x v="2"/>
    <x v="2"/>
    <x v="0"/>
    <n v="3"/>
    <n v="2628"/>
    <n v="781.94"/>
  </r>
  <r>
    <x v="900"/>
    <x v="9"/>
    <x v="2"/>
    <x v="3"/>
    <n v="4"/>
    <n v="4196"/>
    <n v="655.29"/>
  </r>
  <r>
    <x v="382"/>
    <x v="6"/>
    <x v="1"/>
    <x v="2"/>
    <n v="7"/>
    <n v="1204"/>
    <n v="317.12"/>
  </r>
  <r>
    <x v="635"/>
    <x v="0"/>
    <x v="0"/>
    <x v="3"/>
    <n v="7"/>
    <n v="7119"/>
    <n v="1555.05"/>
  </r>
  <r>
    <x v="446"/>
    <x v="2"/>
    <x v="2"/>
    <x v="3"/>
    <n v="8"/>
    <n v="1848"/>
    <n v="351.02"/>
  </r>
  <r>
    <x v="342"/>
    <x v="2"/>
    <x v="2"/>
    <x v="2"/>
    <n v="4"/>
    <n v="2232"/>
    <n v="531.12"/>
  </r>
  <r>
    <x v="221"/>
    <x v="1"/>
    <x v="1"/>
    <x v="3"/>
    <n v="6"/>
    <n v="5190"/>
    <n v="898.86"/>
  </r>
  <r>
    <x v="245"/>
    <x v="7"/>
    <x v="2"/>
    <x v="3"/>
    <n v="3"/>
    <n v="1830"/>
    <n v="403.42"/>
  </r>
  <r>
    <x v="196"/>
    <x v="1"/>
    <x v="1"/>
    <x v="3"/>
    <n v="1"/>
    <n v="1033"/>
    <n v="302.68"/>
  </r>
  <r>
    <x v="506"/>
    <x v="5"/>
    <x v="2"/>
    <x v="2"/>
    <n v="7"/>
    <n v="2324"/>
    <n v="611.70000000000005"/>
  </r>
  <r>
    <x v="388"/>
    <x v="8"/>
    <x v="1"/>
    <x v="0"/>
    <n v="2"/>
    <n v="1942"/>
    <n v="235.42"/>
  </r>
  <r>
    <x v="743"/>
    <x v="0"/>
    <x v="0"/>
    <x v="2"/>
    <n v="7"/>
    <n v="5740"/>
    <n v="1615.9"/>
  </r>
  <r>
    <x v="418"/>
    <x v="5"/>
    <x v="2"/>
    <x v="2"/>
    <n v="9"/>
    <n v="6435"/>
    <n v="1096.8800000000001"/>
  </r>
  <r>
    <x v="540"/>
    <x v="1"/>
    <x v="1"/>
    <x v="0"/>
    <n v="2"/>
    <n v="1168"/>
    <n v="172.18"/>
  </r>
  <r>
    <x v="356"/>
    <x v="2"/>
    <x v="2"/>
    <x v="2"/>
    <n v="9"/>
    <n v="7362"/>
    <n v="441.36"/>
  </r>
  <r>
    <x v="391"/>
    <x v="5"/>
    <x v="2"/>
    <x v="3"/>
    <n v="2"/>
    <n v="862"/>
    <n v="105.97"/>
  </r>
  <r>
    <x v="809"/>
    <x v="1"/>
    <x v="1"/>
    <x v="3"/>
    <n v="1"/>
    <n v="956"/>
    <n v="167.16"/>
  </r>
  <r>
    <x v="935"/>
    <x v="7"/>
    <x v="2"/>
    <x v="3"/>
    <n v="7"/>
    <n v="4438"/>
    <n v="770.3"/>
  </r>
  <r>
    <x v="14"/>
    <x v="8"/>
    <x v="1"/>
    <x v="1"/>
    <n v="9"/>
    <n v="972"/>
    <n v="100"/>
  </r>
  <r>
    <x v="851"/>
    <x v="8"/>
    <x v="1"/>
    <x v="3"/>
    <n v="2"/>
    <n v="1816"/>
    <n v="129.24"/>
  </r>
  <r>
    <x v="526"/>
    <x v="6"/>
    <x v="1"/>
    <x v="1"/>
    <n v="4"/>
    <n v="596"/>
    <n v="105.89"/>
  </r>
  <r>
    <x v="153"/>
    <x v="1"/>
    <x v="1"/>
    <x v="1"/>
    <n v="9"/>
    <n v="1233"/>
    <n v="346.9"/>
  </r>
  <r>
    <x v="188"/>
    <x v="4"/>
    <x v="1"/>
    <x v="3"/>
    <n v="1"/>
    <n v="1055"/>
    <n v="88.61"/>
  </r>
  <r>
    <x v="514"/>
    <x v="2"/>
    <x v="2"/>
    <x v="1"/>
    <n v="2"/>
    <n v="952"/>
    <n v="112.39"/>
  </r>
  <r>
    <x v="956"/>
    <x v="1"/>
    <x v="1"/>
    <x v="3"/>
    <n v="1"/>
    <n v="312"/>
    <n v="40.47"/>
  </r>
  <r>
    <x v="998"/>
    <x v="2"/>
    <x v="2"/>
    <x v="2"/>
    <n v="2"/>
    <n v="294"/>
    <n v="35.049999999999997"/>
  </r>
  <r>
    <x v="312"/>
    <x v="5"/>
    <x v="2"/>
    <x v="0"/>
    <n v="2"/>
    <n v="474"/>
    <n v="120.91"/>
  </r>
  <r>
    <x v="642"/>
    <x v="3"/>
    <x v="2"/>
    <x v="1"/>
    <n v="2"/>
    <n v="788"/>
    <n v="195.15"/>
  </r>
  <r>
    <x v="16"/>
    <x v="1"/>
    <x v="1"/>
    <x v="0"/>
    <n v="8"/>
    <n v="2760"/>
    <n v="156.53"/>
  </r>
  <r>
    <x v="662"/>
    <x v="9"/>
    <x v="2"/>
    <x v="0"/>
    <n v="4"/>
    <n v="908"/>
    <n v="219.79"/>
  </r>
  <r>
    <x v="461"/>
    <x v="7"/>
    <x v="2"/>
    <x v="1"/>
    <n v="1"/>
    <n v="593"/>
    <n v="133.01"/>
  </r>
  <r>
    <x v="940"/>
    <x v="4"/>
    <x v="1"/>
    <x v="2"/>
    <n v="6"/>
    <n v="1698"/>
    <n v="193.42"/>
  </r>
  <r>
    <x v="104"/>
    <x v="0"/>
    <x v="0"/>
    <x v="1"/>
    <n v="1"/>
    <n v="546"/>
    <n v="124.1"/>
  </r>
  <r>
    <x v="783"/>
    <x v="9"/>
    <x v="2"/>
    <x v="3"/>
    <n v="5"/>
    <n v="4380"/>
    <n v="275.83999999999997"/>
  </r>
  <r>
    <x v="223"/>
    <x v="3"/>
    <x v="2"/>
    <x v="3"/>
    <n v="4"/>
    <n v="2472"/>
    <n v="594.62"/>
  </r>
  <r>
    <x v="330"/>
    <x v="7"/>
    <x v="2"/>
    <x v="1"/>
    <n v="4"/>
    <n v="1996"/>
    <n v="396.63"/>
  </r>
  <r>
    <x v="366"/>
    <x v="3"/>
    <x v="2"/>
    <x v="3"/>
    <n v="5"/>
    <n v="2525"/>
    <n v="699.74"/>
  </r>
  <r>
    <x v="782"/>
    <x v="4"/>
    <x v="1"/>
    <x v="3"/>
    <n v="9"/>
    <n v="4041"/>
    <n v="517.23"/>
  </r>
  <r>
    <x v="909"/>
    <x v="8"/>
    <x v="1"/>
    <x v="2"/>
    <n v="3"/>
    <n v="858"/>
    <n v="246.86"/>
  </r>
  <r>
    <x v="91"/>
    <x v="8"/>
    <x v="1"/>
    <x v="0"/>
    <n v="9"/>
    <n v="4221"/>
    <n v="1238.5999999999999"/>
  </r>
  <r>
    <x v="390"/>
    <x v="2"/>
    <x v="2"/>
    <x v="1"/>
    <n v="2"/>
    <n v="858"/>
    <n v="73.489999999999995"/>
  </r>
  <r>
    <x v="227"/>
    <x v="8"/>
    <x v="1"/>
    <x v="0"/>
    <n v="1"/>
    <n v="776"/>
    <n v="172.19"/>
  </r>
  <r>
    <x v="635"/>
    <x v="9"/>
    <x v="2"/>
    <x v="0"/>
    <n v="7"/>
    <n v="3654"/>
    <n v="871.81"/>
  </r>
  <r>
    <x v="921"/>
    <x v="4"/>
    <x v="1"/>
    <x v="1"/>
    <n v="3"/>
    <n v="384"/>
    <n v="45.99"/>
  </r>
  <r>
    <x v="991"/>
    <x v="0"/>
    <x v="0"/>
    <x v="3"/>
    <n v="5"/>
    <n v="535"/>
    <n v="43.47"/>
  </r>
  <r>
    <x v="818"/>
    <x v="4"/>
    <x v="1"/>
    <x v="0"/>
    <n v="9"/>
    <n v="7992"/>
    <n v="1979.53"/>
  </r>
  <r>
    <x v="562"/>
    <x v="1"/>
    <x v="1"/>
    <x v="0"/>
    <n v="7"/>
    <n v="3892"/>
    <n v="350.57"/>
  </r>
  <r>
    <x v="999"/>
    <x v="2"/>
    <x v="2"/>
    <x v="1"/>
    <n v="3"/>
    <n v="2637"/>
    <n v="468.6"/>
  </r>
  <r>
    <x v="1000"/>
    <x v="1"/>
    <x v="1"/>
    <x v="2"/>
    <n v="8"/>
    <n v="8664"/>
    <n v="2349.6799999999998"/>
  </r>
  <r>
    <x v="855"/>
    <x v="5"/>
    <x v="2"/>
    <x v="2"/>
    <n v="6"/>
    <n v="918"/>
    <n v="116.87"/>
  </r>
  <r>
    <x v="607"/>
    <x v="6"/>
    <x v="1"/>
    <x v="3"/>
    <n v="5"/>
    <n v="5625"/>
    <n v="1006.95"/>
  </r>
  <r>
    <x v="642"/>
    <x v="2"/>
    <x v="2"/>
    <x v="3"/>
    <n v="6"/>
    <n v="6030"/>
    <n v="511.7"/>
  </r>
  <r>
    <x v="802"/>
    <x v="0"/>
    <x v="0"/>
    <x v="3"/>
    <n v="8"/>
    <n v="432"/>
    <n v="98.44"/>
  </r>
  <r>
    <x v="819"/>
    <x v="9"/>
    <x v="2"/>
    <x v="2"/>
    <n v="6"/>
    <n v="1884"/>
    <n v="190.58"/>
  </r>
  <r>
    <x v="801"/>
    <x v="9"/>
    <x v="2"/>
    <x v="1"/>
    <n v="9"/>
    <n v="9225"/>
    <n v="2526.27"/>
  </r>
  <r>
    <x v="210"/>
    <x v="0"/>
    <x v="0"/>
    <x v="0"/>
    <n v="2"/>
    <n v="954"/>
    <n v="71"/>
  </r>
  <r>
    <x v="33"/>
    <x v="5"/>
    <x v="2"/>
    <x v="3"/>
    <n v="8"/>
    <n v="7072"/>
    <n v="1983.42"/>
  </r>
  <r>
    <x v="852"/>
    <x v="7"/>
    <x v="2"/>
    <x v="0"/>
    <n v="3"/>
    <n v="342"/>
    <n v="89.67"/>
  </r>
  <r>
    <x v="43"/>
    <x v="0"/>
    <x v="0"/>
    <x v="2"/>
    <n v="4"/>
    <n v="2440"/>
    <n v="410.86"/>
  </r>
  <r>
    <x v="31"/>
    <x v="1"/>
    <x v="1"/>
    <x v="2"/>
    <n v="5"/>
    <n v="510"/>
    <n v="82.47"/>
  </r>
  <r>
    <x v="305"/>
    <x v="7"/>
    <x v="2"/>
    <x v="2"/>
    <n v="1"/>
    <n v="192"/>
    <n v="16.47"/>
  </r>
  <r>
    <x v="673"/>
    <x v="1"/>
    <x v="1"/>
    <x v="1"/>
    <n v="5"/>
    <n v="3600"/>
    <n v="712.3"/>
  </r>
  <r>
    <x v="1001"/>
    <x v="3"/>
    <x v="2"/>
    <x v="3"/>
    <n v="7"/>
    <n v="2597"/>
    <n v="766.32"/>
  </r>
  <r>
    <x v="212"/>
    <x v="3"/>
    <x v="2"/>
    <x v="1"/>
    <n v="4"/>
    <n v="772"/>
    <n v="215.62"/>
  </r>
  <r>
    <x v="665"/>
    <x v="1"/>
    <x v="1"/>
    <x v="3"/>
    <n v="2"/>
    <n v="646"/>
    <n v="180.5"/>
  </r>
  <r>
    <x v="181"/>
    <x v="7"/>
    <x v="2"/>
    <x v="1"/>
    <n v="7"/>
    <n v="2947"/>
    <n v="809.46"/>
  </r>
  <r>
    <x v="801"/>
    <x v="9"/>
    <x v="2"/>
    <x v="2"/>
    <n v="5"/>
    <n v="880"/>
    <n v="255.9"/>
  </r>
  <r>
    <x v="691"/>
    <x v="3"/>
    <x v="2"/>
    <x v="3"/>
    <n v="3"/>
    <n v="1038"/>
    <n v="219.69"/>
  </r>
  <r>
    <x v="965"/>
    <x v="0"/>
    <x v="0"/>
    <x v="3"/>
    <n v="1"/>
    <n v="714"/>
    <n v="209.69"/>
  </r>
  <r>
    <x v="275"/>
    <x v="9"/>
    <x v="2"/>
    <x v="2"/>
    <n v="4"/>
    <n v="1792"/>
    <n v="506.56"/>
  </r>
  <r>
    <x v="116"/>
    <x v="4"/>
    <x v="1"/>
    <x v="1"/>
    <n v="6"/>
    <n v="5874"/>
    <n v="1386.51"/>
  </r>
  <r>
    <x v="162"/>
    <x v="5"/>
    <x v="2"/>
    <x v="1"/>
    <n v="6"/>
    <n v="2496"/>
    <n v="332.08"/>
  </r>
  <r>
    <x v="841"/>
    <x v="5"/>
    <x v="2"/>
    <x v="3"/>
    <n v="3"/>
    <n v="795"/>
    <n v="60.34"/>
  </r>
  <r>
    <x v="350"/>
    <x v="7"/>
    <x v="2"/>
    <x v="1"/>
    <n v="7"/>
    <n v="7238"/>
    <n v="1597.03"/>
  </r>
  <r>
    <x v="409"/>
    <x v="2"/>
    <x v="2"/>
    <x v="2"/>
    <n v="1"/>
    <n v="430"/>
    <n v="83.33"/>
  </r>
  <r>
    <x v="135"/>
    <x v="4"/>
    <x v="1"/>
    <x v="3"/>
    <n v="4"/>
    <n v="1728"/>
    <n v="239.64"/>
  </r>
  <r>
    <x v="709"/>
    <x v="6"/>
    <x v="1"/>
    <x v="2"/>
    <n v="3"/>
    <n v="1833"/>
    <n v="314.79000000000002"/>
  </r>
  <r>
    <x v="320"/>
    <x v="6"/>
    <x v="1"/>
    <x v="0"/>
    <n v="7"/>
    <n v="7280"/>
    <n v="1682.79"/>
  </r>
  <r>
    <x v="458"/>
    <x v="5"/>
    <x v="2"/>
    <x v="2"/>
    <n v="1"/>
    <n v="814"/>
    <n v="197.91"/>
  </r>
  <r>
    <x v="536"/>
    <x v="0"/>
    <x v="0"/>
    <x v="2"/>
    <n v="8"/>
    <n v="4696"/>
    <n v="410.03"/>
  </r>
  <r>
    <x v="346"/>
    <x v="1"/>
    <x v="1"/>
    <x v="2"/>
    <n v="5"/>
    <n v="1190"/>
    <n v="235.64"/>
  </r>
  <r>
    <x v="750"/>
    <x v="0"/>
    <x v="0"/>
    <x v="1"/>
    <n v="1"/>
    <n v="591"/>
    <n v="39.06"/>
  </r>
  <r>
    <x v="639"/>
    <x v="1"/>
    <x v="1"/>
    <x v="0"/>
    <n v="9"/>
    <n v="8100"/>
    <n v="2203.56"/>
  </r>
  <r>
    <x v="552"/>
    <x v="9"/>
    <x v="2"/>
    <x v="2"/>
    <n v="6"/>
    <n v="1500"/>
    <n v="183.31"/>
  </r>
  <r>
    <x v="501"/>
    <x v="5"/>
    <x v="2"/>
    <x v="0"/>
    <n v="2"/>
    <n v="300"/>
    <n v="48.69"/>
  </r>
  <r>
    <x v="70"/>
    <x v="5"/>
    <x v="2"/>
    <x v="0"/>
    <n v="9"/>
    <n v="1098"/>
    <n v="106.97"/>
  </r>
  <r>
    <x v="828"/>
    <x v="6"/>
    <x v="1"/>
    <x v="3"/>
    <n v="4"/>
    <n v="2336"/>
    <n v="509.49"/>
  </r>
  <r>
    <x v="323"/>
    <x v="3"/>
    <x v="2"/>
    <x v="0"/>
    <n v="5"/>
    <n v="410"/>
    <n v="40.96"/>
  </r>
  <r>
    <x v="6"/>
    <x v="1"/>
    <x v="1"/>
    <x v="2"/>
    <n v="9"/>
    <n v="594"/>
    <n v="51.49"/>
  </r>
  <r>
    <x v="39"/>
    <x v="5"/>
    <x v="2"/>
    <x v="1"/>
    <n v="2"/>
    <n v="218"/>
    <n v="38.93"/>
  </r>
  <r>
    <x v="1002"/>
    <x v="2"/>
    <x v="2"/>
    <x v="2"/>
    <n v="2"/>
    <n v="1298"/>
    <n v="123.9"/>
  </r>
  <r>
    <x v="594"/>
    <x v="2"/>
    <x v="2"/>
    <x v="0"/>
    <n v="5"/>
    <n v="895"/>
    <n v="180.64"/>
  </r>
  <r>
    <x v="713"/>
    <x v="8"/>
    <x v="1"/>
    <x v="3"/>
    <n v="4"/>
    <n v="2828"/>
    <n v="539.42999999999995"/>
  </r>
  <r>
    <x v="886"/>
    <x v="2"/>
    <x v="2"/>
    <x v="3"/>
    <n v="3"/>
    <n v="813"/>
    <n v="188.94"/>
  </r>
  <r>
    <x v="534"/>
    <x v="6"/>
    <x v="1"/>
    <x v="3"/>
    <n v="4"/>
    <n v="1800"/>
    <n v="170.19"/>
  </r>
  <r>
    <x v="751"/>
    <x v="2"/>
    <x v="2"/>
    <x v="3"/>
    <n v="1"/>
    <n v="99"/>
    <n v="12.79"/>
  </r>
  <r>
    <x v="481"/>
    <x v="4"/>
    <x v="1"/>
    <x v="3"/>
    <n v="8"/>
    <n v="7576"/>
    <n v="1703.42"/>
  </r>
  <r>
    <x v="450"/>
    <x v="5"/>
    <x v="2"/>
    <x v="1"/>
    <n v="3"/>
    <n v="1317"/>
    <n v="71.02"/>
  </r>
  <r>
    <x v="726"/>
    <x v="5"/>
    <x v="2"/>
    <x v="3"/>
    <n v="3"/>
    <n v="957"/>
    <n v="120.27"/>
  </r>
  <r>
    <x v="47"/>
    <x v="1"/>
    <x v="1"/>
    <x v="2"/>
    <n v="4"/>
    <n v="1316"/>
    <n v="244.13"/>
  </r>
  <r>
    <x v="888"/>
    <x v="4"/>
    <x v="1"/>
    <x v="2"/>
    <n v="6"/>
    <n v="5346"/>
    <n v="351.93"/>
  </r>
  <r>
    <x v="401"/>
    <x v="7"/>
    <x v="2"/>
    <x v="1"/>
    <n v="1"/>
    <n v="464"/>
    <n v="66.260000000000005"/>
  </r>
  <r>
    <x v="711"/>
    <x v="8"/>
    <x v="1"/>
    <x v="0"/>
    <n v="7"/>
    <n v="3752"/>
    <n v="835.34"/>
  </r>
  <r>
    <x v="827"/>
    <x v="8"/>
    <x v="1"/>
    <x v="3"/>
    <n v="6"/>
    <n v="1962"/>
    <n v="301.57"/>
  </r>
  <r>
    <x v="492"/>
    <x v="7"/>
    <x v="2"/>
    <x v="2"/>
    <n v="6"/>
    <n v="2310"/>
    <n v="202.98"/>
  </r>
  <r>
    <x v="125"/>
    <x v="2"/>
    <x v="2"/>
    <x v="1"/>
    <n v="4"/>
    <n v="3028"/>
    <n v="685.23"/>
  </r>
  <r>
    <x v="843"/>
    <x v="6"/>
    <x v="1"/>
    <x v="0"/>
    <n v="3"/>
    <n v="2994"/>
    <n v="877.92"/>
  </r>
  <r>
    <x v="113"/>
    <x v="2"/>
    <x v="2"/>
    <x v="2"/>
    <n v="3"/>
    <n v="3393"/>
    <n v="313.45"/>
  </r>
  <r>
    <x v="447"/>
    <x v="3"/>
    <x v="2"/>
    <x v="0"/>
    <n v="3"/>
    <n v="1209"/>
    <n v="320.61"/>
  </r>
  <r>
    <x v="417"/>
    <x v="8"/>
    <x v="1"/>
    <x v="1"/>
    <n v="8"/>
    <n v="5784"/>
    <n v="1276.57"/>
  </r>
  <r>
    <x v="149"/>
    <x v="9"/>
    <x v="2"/>
    <x v="3"/>
    <n v="9"/>
    <n v="3078"/>
    <n v="285.05"/>
  </r>
  <r>
    <x v="927"/>
    <x v="0"/>
    <x v="0"/>
    <x v="2"/>
    <n v="4"/>
    <n v="2464"/>
    <n v="602.29999999999995"/>
  </r>
  <r>
    <x v="1003"/>
    <x v="3"/>
    <x v="2"/>
    <x v="3"/>
    <n v="5"/>
    <n v="2445"/>
    <n v="146.6"/>
  </r>
  <r>
    <x v="144"/>
    <x v="8"/>
    <x v="1"/>
    <x v="0"/>
    <n v="8"/>
    <n v="5312"/>
    <n v="841.13"/>
  </r>
  <r>
    <x v="133"/>
    <x v="8"/>
    <x v="1"/>
    <x v="2"/>
    <n v="1"/>
    <n v="657"/>
    <n v="101.85"/>
  </r>
  <r>
    <x v="432"/>
    <x v="8"/>
    <x v="1"/>
    <x v="2"/>
    <n v="3"/>
    <n v="2580"/>
    <n v="173.89"/>
  </r>
  <r>
    <x v="323"/>
    <x v="9"/>
    <x v="2"/>
    <x v="1"/>
    <n v="8"/>
    <n v="4624"/>
    <n v="893.74"/>
  </r>
  <r>
    <x v="424"/>
    <x v="5"/>
    <x v="2"/>
    <x v="0"/>
    <n v="2"/>
    <n v="1258"/>
    <n v="146.69999999999999"/>
  </r>
  <r>
    <x v="311"/>
    <x v="3"/>
    <x v="2"/>
    <x v="1"/>
    <n v="7"/>
    <n v="6468"/>
    <n v="398.23"/>
  </r>
  <r>
    <x v="947"/>
    <x v="6"/>
    <x v="1"/>
    <x v="3"/>
    <n v="3"/>
    <n v="1359"/>
    <n v="152.85"/>
  </r>
  <r>
    <x v="271"/>
    <x v="9"/>
    <x v="2"/>
    <x v="0"/>
    <n v="1"/>
    <n v="104"/>
    <n v="18.670000000000002"/>
  </r>
  <r>
    <x v="125"/>
    <x v="4"/>
    <x v="1"/>
    <x v="2"/>
    <n v="3"/>
    <n v="1785"/>
    <n v="93.17"/>
  </r>
  <r>
    <x v="824"/>
    <x v="6"/>
    <x v="1"/>
    <x v="0"/>
    <n v="8"/>
    <n v="7728"/>
    <n v="1748.26"/>
  </r>
  <r>
    <x v="748"/>
    <x v="7"/>
    <x v="2"/>
    <x v="3"/>
    <n v="6"/>
    <n v="4188"/>
    <n v="1231.1600000000001"/>
  </r>
  <r>
    <x v="1004"/>
    <x v="5"/>
    <x v="2"/>
    <x v="2"/>
    <n v="8"/>
    <n v="3520"/>
    <n v="359.84"/>
  </r>
  <r>
    <x v="212"/>
    <x v="3"/>
    <x v="2"/>
    <x v="1"/>
    <n v="3"/>
    <n v="2280"/>
    <n v="365.17"/>
  </r>
  <r>
    <x v="53"/>
    <x v="0"/>
    <x v="0"/>
    <x v="0"/>
    <n v="9"/>
    <n v="2484"/>
    <n v="655.54"/>
  </r>
  <r>
    <x v="57"/>
    <x v="2"/>
    <x v="2"/>
    <x v="3"/>
    <n v="3"/>
    <n v="1248"/>
    <n v="348.19"/>
  </r>
  <r>
    <x v="706"/>
    <x v="5"/>
    <x v="2"/>
    <x v="3"/>
    <n v="2"/>
    <n v="850"/>
    <n v="59.92"/>
  </r>
  <r>
    <x v="804"/>
    <x v="0"/>
    <x v="0"/>
    <x v="1"/>
    <n v="4"/>
    <n v="1412"/>
    <n v="150.13"/>
  </r>
  <r>
    <x v="56"/>
    <x v="4"/>
    <x v="1"/>
    <x v="0"/>
    <n v="1"/>
    <n v="465"/>
    <n v="26.5"/>
  </r>
  <r>
    <x v="828"/>
    <x v="0"/>
    <x v="0"/>
    <x v="3"/>
    <n v="1"/>
    <n v="293"/>
    <n v="29.58"/>
  </r>
  <r>
    <x v="105"/>
    <x v="2"/>
    <x v="2"/>
    <x v="0"/>
    <n v="9"/>
    <n v="9234"/>
    <n v="2523.67"/>
  </r>
  <r>
    <x v="906"/>
    <x v="2"/>
    <x v="2"/>
    <x v="0"/>
    <n v="2"/>
    <n v="1298"/>
    <n v="239.45"/>
  </r>
  <r>
    <x v="852"/>
    <x v="0"/>
    <x v="0"/>
    <x v="1"/>
    <n v="9"/>
    <n v="9477"/>
    <n v="2443.62"/>
  </r>
  <r>
    <x v="1005"/>
    <x v="0"/>
    <x v="0"/>
    <x v="2"/>
    <n v="7"/>
    <n v="6713"/>
    <n v="457.99"/>
  </r>
  <r>
    <x v="803"/>
    <x v="9"/>
    <x v="2"/>
    <x v="2"/>
    <n v="5"/>
    <n v="5700"/>
    <n v="999.26"/>
  </r>
  <r>
    <x v="600"/>
    <x v="3"/>
    <x v="2"/>
    <x v="3"/>
    <n v="6"/>
    <n v="4146"/>
    <n v="700.46"/>
  </r>
  <r>
    <x v="893"/>
    <x v="2"/>
    <x v="2"/>
    <x v="0"/>
    <n v="8"/>
    <n v="6968"/>
    <n v="704.55"/>
  </r>
  <r>
    <x v="299"/>
    <x v="3"/>
    <x v="2"/>
    <x v="1"/>
    <n v="2"/>
    <n v="1054"/>
    <n v="243.5"/>
  </r>
  <r>
    <x v="532"/>
    <x v="8"/>
    <x v="1"/>
    <x v="3"/>
    <n v="3"/>
    <n v="1983"/>
    <n v="453.09"/>
  </r>
  <r>
    <x v="845"/>
    <x v="8"/>
    <x v="1"/>
    <x v="2"/>
    <n v="5"/>
    <n v="875"/>
    <n v="70.72"/>
  </r>
  <r>
    <x v="889"/>
    <x v="0"/>
    <x v="0"/>
    <x v="0"/>
    <n v="2"/>
    <n v="268"/>
    <n v="63.01"/>
  </r>
  <r>
    <x v="426"/>
    <x v="4"/>
    <x v="1"/>
    <x v="3"/>
    <n v="6"/>
    <n v="5370"/>
    <n v="1045.0999999999999"/>
  </r>
  <r>
    <x v="433"/>
    <x v="6"/>
    <x v="1"/>
    <x v="3"/>
    <n v="8"/>
    <n v="3624"/>
    <n v="1071.43"/>
  </r>
  <r>
    <x v="807"/>
    <x v="5"/>
    <x v="2"/>
    <x v="3"/>
    <n v="4"/>
    <n v="1932"/>
    <n v="301.16000000000003"/>
  </r>
  <r>
    <x v="1006"/>
    <x v="7"/>
    <x v="2"/>
    <x v="0"/>
    <n v="7"/>
    <n v="6020"/>
    <n v="384.74"/>
  </r>
  <r>
    <x v="348"/>
    <x v="4"/>
    <x v="1"/>
    <x v="1"/>
    <n v="5"/>
    <n v="1775"/>
    <n v="234.67"/>
  </r>
  <r>
    <x v="1007"/>
    <x v="5"/>
    <x v="2"/>
    <x v="3"/>
    <n v="3"/>
    <n v="1488"/>
    <n v="382.09"/>
  </r>
  <r>
    <x v="769"/>
    <x v="8"/>
    <x v="1"/>
    <x v="1"/>
    <n v="6"/>
    <n v="6720"/>
    <n v="1113.56"/>
  </r>
  <r>
    <x v="78"/>
    <x v="1"/>
    <x v="1"/>
    <x v="1"/>
    <n v="7"/>
    <n v="5047"/>
    <n v="1356.23"/>
  </r>
  <r>
    <x v="1008"/>
    <x v="2"/>
    <x v="2"/>
    <x v="1"/>
    <n v="5"/>
    <n v="3735"/>
    <n v="957.13"/>
  </r>
  <r>
    <x v="999"/>
    <x v="8"/>
    <x v="1"/>
    <x v="1"/>
    <n v="5"/>
    <n v="1250"/>
    <n v="120.74"/>
  </r>
  <r>
    <x v="182"/>
    <x v="2"/>
    <x v="2"/>
    <x v="0"/>
    <n v="7"/>
    <n v="2751"/>
    <n v="548.04999999999995"/>
  </r>
  <r>
    <x v="63"/>
    <x v="9"/>
    <x v="2"/>
    <x v="1"/>
    <n v="9"/>
    <n v="468"/>
    <n v="58.98"/>
  </r>
  <r>
    <x v="573"/>
    <x v="0"/>
    <x v="0"/>
    <x v="0"/>
    <n v="4"/>
    <n v="632"/>
    <n v="114.82"/>
  </r>
  <r>
    <x v="481"/>
    <x v="8"/>
    <x v="1"/>
    <x v="2"/>
    <n v="7"/>
    <n v="798"/>
    <n v="219.2"/>
  </r>
  <r>
    <x v="245"/>
    <x v="5"/>
    <x v="2"/>
    <x v="2"/>
    <n v="5"/>
    <n v="1295"/>
    <n v="104.26"/>
  </r>
  <r>
    <x v="989"/>
    <x v="3"/>
    <x v="2"/>
    <x v="3"/>
    <n v="4"/>
    <n v="3360"/>
    <n v="540.38"/>
  </r>
  <r>
    <x v="223"/>
    <x v="3"/>
    <x v="2"/>
    <x v="0"/>
    <n v="5"/>
    <n v="995"/>
    <n v="206.95"/>
  </r>
  <r>
    <x v="888"/>
    <x v="5"/>
    <x v="2"/>
    <x v="1"/>
    <n v="5"/>
    <n v="550"/>
    <n v="28.72"/>
  </r>
  <r>
    <x v="946"/>
    <x v="6"/>
    <x v="1"/>
    <x v="3"/>
    <n v="8"/>
    <n v="5384"/>
    <n v="724.8"/>
  </r>
  <r>
    <x v="359"/>
    <x v="0"/>
    <x v="0"/>
    <x v="1"/>
    <n v="3"/>
    <n v="3534"/>
    <n v="489.06"/>
  </r>
  <r>
    <x v="205"/>
    <x v="7"/>
    <x v="2"/>
    <x v="3"/>
    <n v="9"/>
    <n v="6813"/>
    <n v="890.05"/>
  </r>
  <r>
    <x v="412"/>
    <x v="5"/>
    <x v="2"/>
    <x v="1"/>
    <n v="6"/>
    <n v="5508"/>
    <n v="1632.37"/>
  </r>
  <r>
    <x v="45"/>
    <x v="4"/>
    <x v="1"/>
    <x v="1"/>
    <n v="1"/>
    <n v="966"/>
    <n v="202.53"/>
  </r>
  <r>
    <x v="562"/>
    <x v="1"/>
    <x v="1"/>
    <x v="2"/>
    <n v="4"/>
    <n v="460"/>
    <n v="92.24"/>
  </r>
  <r>
    <x v="334"/>
    <x v="7"/>
    <x v="2"/>
    <x v="0"/>
    <n v="6"/>
    <n v="7026"/>
    <n v="459.4"/>
  </r>
  <r>
    <x v="342"/>
    <x v="7"/>
    <x v="2"/>
    <x v="2"/>
    <n v="5"/>
    <n v="910"/>
    <n v="116.47"/>
  </r>
  <r>
    <x v="326"/>
    <x v="6"/>
    <x v="1"/>
    <x v="3"/>
    <n v="9"/>
    <n v="5796"/>
    <n v="1729.18"/>
  </r>
  <r>
    <x v="711"/>
    <x v="6"/>
    <x v="1"/>
    <x v="0"/>
    <n v="3"/>
    <n v="1050"/>
    <n v="292.64"/>
  </r>
  <r>
    <x v="828"/>
    <x v="1"/>
    <x v="1"/>
    <x v="3"/>
    <n v="1"/>
    <n v="1043"/>
    <n v="151.13"/>
  </r>
  <r>
    <x v="727"/>
    <x v="0"/>
    <x v="0"/>
    <x v="2"/>
    <n v="3"/>
    <n v="3330"/>
    <n v="503.85"/>
  </r>
  <r>
    <x v="260"/>
    <x v="1"/>
    <x v="1"/>
    <x v="1"/>
    <n v="8"/>
    <n v="1896"/>
    <n v="448.53"/>
  </r>
  <r>
    <x v="964"/>
    <x v="3"/>
    <x v="2"/>
    <x v="3"/>
    <n v="5"/>
    <n v="5170"/>
    <n v="1248.6600000000001"/>
  </r>
  <r>
    <x v="1009"/>
    <x v="0"/>
    <x v="0"/>
    <x v="0"/>
    <n v="2"/>
    <n v="466"/>
    <n v="25.04"/>
  </r>
  <r>
    <x v="1010"/>
    <x v="1"/>
    <x v="1"/>
    <x v="0"/>
    <n v="8"/>
    <n v="6032"/>
    <n v="1636.61"/>
  </r>
  <r>
    <x v="565"/>
    <x v="3"/>
    <x v="2"/>
    <x v="2"/>
    <n v="1"/>
    <n v="1084"/>
    <n v="103.06"/>
  </r>
  <r>
    <x v="39"/>
    <x v="8"/>
    <x v="1"/>
    <x v="0"/>
    <n v="2"/>
    <n v="490"/>
    <n v="45.34"/>
  </r>
  <r>
    <x v="718"/>
    <x v="6"/>
    <x v="1"/>
    <x v="0"/>
    <n v="6"/>
    <n v="558"/>
    <n v="57.01"/>
  </r>
  <r>
    <x v="226"/>
    <x v="6"/>
    <x v="1"/>
    <x v="1"/>
    <n v="4"/>
    <n v="4024"/>
    <n v="787.06"/>
  </r>
  <r>
    <x v="374"/>
    <x v="1"/>
    <x v="1"/>
    <x v="1"/>
    <n v="4"/>
    <n v="1560"/>
    <n v="461.15"/>
  </r>
  <r>
    <x v="729"/>
    <x v="9"/>
    <x v="2"/>
    <x v="0"/>
    <n v="1"/>
    <n v="126"/>
    <n v="26.62"/>
  </r>
  <r>
    <x v="370"/>
    <x v="1"/>
    <x v="1"/>
    <x v="2"/>
    <n v="7"/>
    <n v="4921"/>
    <n v="827.87"/>
  </r>
  <r>
    <x v="14"/>
    <x v="4"/>
    <x v="1"/>
    <x v="3"/>
    <n v="5"/>
    <n v="2665"/>
    <n v="532.76"/>
  </r>
  <r>
    <x v="246"/>
    <x v="4"/>
    <x v="1"/>
    <x v="2"/>
    <n v="4"/>
    <n v="200"/>
    <n v="58.42"/>
  </r>
  <r>
    <x v="452"/>
    <x v="5"/>
    <x v="2"/>
    <x v="1"/>
    <n v="2"/>
    <n v="186"/>
    <n v="32.479999999999997"/>
  </r>
  <r>
    <x v="100"/>
    <x v="6"/>
    <x v="1"/>
    <x v="2"/>
    <n v="8"/>
    <n v="5456"/>
    <n v="898.06"/>
  </r>
  <r>
    <x v="559"/>
    <x v="5"/>
    <x v="2"/>
    <x v="3"/>
    <n v="9"/>
    <n v="3321"/>
    <n v="540.66999999999996"/>
  </r>
  <r>
    <x v="792"/>
    <x v="4"/>
    <x v="1"/>
    <x v="0"/>
    <n v="7"/>
    <n v="3766"/>
    <n v="914.49"/>
  </r>
  <r>
    <x v="829"/>
    <x v="8"/>
    <x v="1"/>
    <x v="3"/>
    <n v="6"/>
    <n v="3150"/>
    <n v="498.63"/>
  </r>
  <r>
    <x v="913"/>
    <x v="9"/>
    <x v="2"/>
    <x v="1"/>
    <n v="2"/>
    <n v="646"/>
    <n v="110.13"/>
  </r>
  <r>
    <x v="209"/>
    <x v="7"/>
    <x v="2"/>
    <x v="2"/>
    <n v="5"/>
    <n v="2665"/>
    <n v="369.73"/>
  </r>
  <r>
    <x v="533"/>
    <x v="5"/>
    <x v="2"/>
    <x v="0"/>
    <n v="9"/>
    <n v="1467"/>
    <n v="384.22"/>
  </r>
  <r>
    <x v="528"/>
    <x v="2"/>
    <x v="2"/>
    <x v="0"/>
    <n v="7"/>
    <n v="4620"/>
    <n v="990.79"/>
  </r>
  <r>
    <x v="278"/>
    <x v="2"/>
    <x v="2"/>
    <x v="3"/>
    <n v="8"/>
    <n v="1184"/>
    <n v="148.69"/>
  </r>
  <r>
    <x v="285"/>
    <x v="3"/>
    <x v="2"/>
    <x v="1"/>
    <n v="1"/>
    <n v="113"/>
    <n v="20.07"/>
  </r>
  <r>
    <x v="710"/>
    <x v="0"/>
    <x v="0"/>
    <x v="1"/>
    <n v="8"/>
    <n v="3336"/>
    <n v="492.76"/>
  </r>
  <r>
    <x v="32"/>
    <x v="7"/>
    <x v="2"/>
    <x v="2"/>
    <n v="4"/>
    <n v="4224"/>
    <n v="477.33"/>
  </r>
  <r>
    <x v="24"/>
    <x v="4"/>
    <x v="1"/>
    <x v="0"/>
    <n v="3"/>
    <n v="1098"/>
    <n v="144.24"/>
  </r>
  <r>
    <x v="951"/>
    <x v="3"/>
    <x v="2"/>
    <x v="2"/>
    <n v="8"/>
    <n v="4400"/>
    <n v="351.82"/>
  </r>
  <r>
    <x v="176"/>
    <x v="0"/>
    <x v="0"/>
    <x v="0"/>
    <n v="8"/>
    <n v="5616"/>
    <n v="723.42"/>
  </r>
  <r>
    <x v="578"/>
    <x v="0"/>
    <x v="0"/>
    <x v="0"/>
    <n v="7"/>
    <n v="4676"/>
    <n v="520.38"/>
  </r>
  <r>
    <x v="1011"/>
    <x v="5"/>
    <x v="2"/>
    <x v="0"/>
    <n v="2"/>
    <n v="2370"/>
    <n v="641.23"/>
  </r>
  <r>
    <x v="955"/>
    <x v="1"/>
    <x v="1"/>
    <x v="3"/>
    <n v="7"/>
    <n v="4487"/>
    <n v="688.76"/>
  </r>
  <r>
    <x v="244"/>
    <x v="3"/>
    <x v="2"/>
    <x v="0"/>
    <n v="6"/>
    <n v="6384"/>
    <n v="1754.15"/>
  </r>
  <r>
    <x v="367"/>
    <x v="8"/>
    <x v="1"/>
    <x v="2"/>
    <n v="8"/>
    <n v="2960"/>
    <n v="878.11"/>
  </r>
  <r>
    <x v="1012"/>
    <x v="5"/>
    <x v="2"/>
    <x v="1"/>
    <n v="1"/>
    <n v="897"/>
    <n v="250.78"/>
  </r>
  <r>
    <x v="1002"/>
    <x v="7"/>
    <x v="2"/>
    <x v="1"/>
    <n v="2"/>
    <n v="1178"/>
    <n v="120.51"/>
  </r>
  <r>
    <x v="1013"/>
    <x v="5"/>
    <x v="2"/>
    <x v="1"/>
    <n v="2"/>
    <n v="1026"/>
    <n v="64.510000000000005"/>
  </r>
  <r>
    <x v="371"/>
    <x v="0"/>
    <x v="0"/>
    <x v="2"/>
    <n v="1"/>
    <n v="1148"/>
    <n v="89.04"/>
  </r>
  <r>
    <x v="831"/>
    <x v="0"/>
    <x v="0"/>
    <x v="3"/>
    <n v="7"/>
    <n v="3185"/>
    <n v="765.41"/>
  </r>
  <r>
    <x v="204"/>
    <x v="7"/>
    <x v="2"/>
    <x v="1"/>
    <n v="7"/>
    <n v="5180"/>
    <n v="463.35"/>
  </r>
  <r>
    <x v="592"/>
    <x v="4"/>
    <x v="1"/>
    <x v="2"/>
    <n v="5"/>
    <n v="2025"/>
    <n v="295.13"/>
  </r>
  <r>
    <x v="413"/>
    <x v="2"/>
    <x v="2"/>
    <x v="0"/>
    <n v="9"/>
    <n v="1359"/>
    <n v="187.72"/>
  </r>
  <r>
    <x v="367"/>
    <x v="3"/>
    <x v="2"/>
    <x v="2"/>
    <n v="4"/>
    <n v="1836"/>
    <n v="462.52"/>
  </r>
  <r>
    <x v="553"/>
    <x v="2"/>
    <x v="2"/>
    <x v="3"/>
    <n v="2"/>
    <n v="702"/>
    <n v="112.04"/>
  </r>
  <r>
    <x v="820"/>
    <x v="7"/>
    <x v="2"/>
    <x v="3"/>
    <n v="8"/>
    <n v="6576"/>
    <n v="1337.38"/>
  </r>
  <r>
    <x v="588"/>
    <x v="5"/>
    <x v="2"/>
    <x v="3"/>
    <n v="2"/>
    <n v="1428"/>
    <n v="398.24"/>
  </r>
  <r>
    <x v="690"/>
    <x v="3"/>
    <x v="2"/>
    <x v="0"/>
    <n v="7"/>
    <n v="6853"/>
    <n v="1259.03"/>
  </r>
  <r>
    <x v="967"/>
    <x v="3"/>
    <x v="2"/>
    <x v="3"/>
    <n v="2"/>
    <n v="1492"/>
    <n v="276.56"/>
  </r>
  <r>
    <x v="423"/>
    <x v="0"/>
    <x v="0"/>
    <x v="0"/>
    <n v="6"/>
    <n v="1938"/>
    <n v="146.72999999999999"/>
  </r>
  <r>
    <x v="690"/>
    <x v="3"/>
    <x v="2"/>
    <x v="2"/>
    <n v="5"/>
    <n v="905"/>
    <n v="70.91"/>
  </r>
  <r>
    <x v="543"/>
    <x v="0"/>
    <x v="0"/>
    <x v="0"/>
    <n v="3"/>
    <n v="2571"/>
    <n v="510.01"/>
  </r>
  <r>
    <x v="497"/>
    <x v="2"/>
    <x v="2"/>
    <x v="3"/>
    <n v="4"/>
    <n v="1500"/>
    <n v="127.81"/>
  </r>
  <r>
    <x v="278"/>
    <x v="5"/>
    <x v="2"/>
    <x v="2"/>
    <n v="9"/>
    <n v="8712"/>
    <n v="1034.27"/>
  </r>
  <r>
    <x v="825"/>
    <x v="6"/>
    <x v="1"/>
    <x v="1"/>
    <n v="4"/>
    <n v="1308"/>
    <n v="368.28"/>
  </r>
  <r>
    <x v="489"/>
    <x v="7"/>
    <x v="2"/>
    <x v="2"/>
    <n v="4"/>
    <n v="2648"/>
    <n v="707.32"/>
  </r>
  <r>
    <x v="1014"/>
    <x v="3"/>
    <x v="2"/>
    <x v="2"/>
    <n v="9"/>
    <n v="9810"/>
    <n v="1666.96"/>
  </r>
  <r>
    <x v="51"/>
    <x v="4"/>
    <x v="1"/>
    <x v="0"/>
    <n v="3"/>
    <n v="3291"/>
    <n v="274.10000000000002"/>
  </r>
  <r>
    <x v="362"/>
    <x v="5"/>
    <x v="2"/>
    <x v="0"/>
    <n v="1"/>
    <n v="758"/>
    <n v="96.44"/>
  </r>
  <r>
    <x v="464"/>
    <x v="8"/>
    <x v="1"/>
    <x v="1"/>
    <n v="7"/>
    <n v="2436"/>
    <n v="715.14"/>
  </r>
  <r>
    <x v="1001"/>
    <x v="5"/>
    <x v="2"/>
    <x v="0"/>
    <n v="7"/>
    <n v="560"/>
    <n v="163.16"/>
  </r>
  <r>
    <x v="199"/>
    <x v="7"/>
    <x v="2"/>
    <x v="3"/>
    <n v="8"/>
    <n v="4240"/>
    <n v="519.72"/>
  </r>
  <r>
    <x v="640"/>
    <x v="6"/>
    <x v="1"/>
    <x v="1"/>
    <n v="8"/>
    <n v="5416"/>
    <n v="403.52"/>
  </r>
  <r>
    <x v="940"/>
    <x v="7"/>
    <x v="2"/>
    <x v="1"/>
    <n v="8"/>
    <n v="1728"/>
    <n v="477.7"/>
  </r>
  <r>
    <x v="160"/>
    <x v="8"/>
    <x v="1"/>
    <x v="3"/>
    <n v="9"/>
    <n v="6309"/>
    <n v="801.15"/>
  </r>
  <r>
    <x v="259"/>
    <x v="8"/>
    <x v="1"/>
    <x v="0"/>
    <n v="8"/>
    <n v="3400"/>
    <n v="758.57"/>
  </r>
  <r>
    <x v="754"/>
    <x v="9"/>
    <x v="2"/>
    <x v="1"/>
    <n v="1"/>
    <n v="403"/>
    <n v="72.45"/>
  </r>
  <r>
    <x v="527"/>
    <x v="8"/>
    <x v="1"/>
    <x v="2"/>
    <n v="4"/>
    <n v="2108"/>
    <n v="375.62"/>
  </r>
  <r>
    <x v="365"/>
    <x v="4"/>
    <x v="1"/>
    <x v="3"/>
    <n v="2"/>
    <n v="1090"/>
    <n v="296.12"/>
  </r>
  <r>
    <x v="785"/>
    <x v="8"/>
    <x v="1"/>
    <x v="0"/>
    <n v="7"/>
    <n v="1274"/>
    <n v="317.92"/>
  </r>
  <r>
    <x v="896"/>
    <x v="1"/>
    <x v="1"/>
    <x v="2"/>
    <n v="3"/>
    <n v="1056"/>
    <n v="70.540000000000006"/>
  </r>
  <r>
    <x v="473"/>
    <x v="1"/>
    <x v="1"/>
    <x v="0"/>
    <n v="9"/>
    <n v="5247"/>
    <n v="921.09"/>
  </r>
  <r>
    <x v="577"/>
    <x v="1"/>
    <x v="1"/>
    <x v="3"/>
    <n v="7"/>
    <n v="6006"/>
    <n v="1595.22"/>
  </r>
  <r>
    <x v="927"/>
    <x v="6"/>
    <x v="1"/>
    <x v="3"/>
    <n v="5"/>
    <n v="5415"/>
    <n v="1261.6500000000001"/>
  </r>
  <r>
    <x v="857"/>
    <x v="7"/>
    <x v="2"/>
    <x v="3"/>
    <n v="1"/>
    <n v="632"/>
    <n v="81.540000000000006"/>
  </r>
  <r>
    <x v="76"/>
    <x v="0"/>
    <x v="0"/>
    <x v="3"/>
    <n v="8"/>
    <n v="6160"/>
    <n v="947.96"/>
  </r>
  <r>
    <x v="251"/>
    <x v="0"/>
    <x v="0"/>
    <x v="2"/>
    <n v="1"/>
    <n v="857"/>
    <n v="172.91"/>
  </r>
  <r>
    <x v="438"/>
    <x v="2"/>
    <x v="2"/>
    <x v="1"/>
    <n v="1"/>
    <n v="169"/>
    <n v="22.99"/>
  </r>
  <r>
    <x v="487"/>
    <x v="2"/>
    <x v="2"/>
    <x v="3"/>
    <n v="7"/>
    <n v="1463"/>
    <n v="175.13"/>
  </r>
  <r>
    <x v="675"/>
    <x v="3"/>
    <x v="2"/>
    <x v="1"/>
    <n v="8"/>
    <n v="7528"/>
    <n v="1283.07"/>
  </r>
  <r>
    <x v="997"/>
    <x v="5"/>
    <x v="2"/>
    <x v="3"/>
    <n v="2"/>
    <n v="1158"/>
    <n v="227.61"/>
  </r>
  <r>
    <x v="669"/>
    <x v="6"/>
    <x v="1"/>
    <x v="3"/>
    <n v="4"/>
    <n v="200"/>
    <n v="20.25"/>
  </r>
  <r>
    <x v="313"/>
    <x v="7"/>
    <x v="2"/>
    <x v="3"/>
    <n v="2"/>
    <n v="1514"/>
    <n v="180.67"/>
  </r>
  <r>
    <x v="109"/>
    <x v="5"/>
    <x v="2"/>
    <x v="2"/>
    <n v="7"/>
    <n v="2632"/>
    <n v="738.93"/>
  </r>
  <r>
    <x v="462"/>
    <x v="8"/>
    <x v="1"/>
    <x v="0"/>
    <n v="1"/>
    <n v="358"/>
    <n v="77.84"/>
  </r>
  <r>
    <x v="388"/>
    <x v="3"/>
    <x v="2"/>
    <x v="1"/>
    <n v="8"/>
    <n v="2360"/>
    <n v="653.29999999999995"/>
  </r>
  <r>
    <x v="556"/>
    <x v="8"/>
    <x v="1"/>
    <x v="2"/>
    <n v="5"/>
    <n v="5275"/>
    <n v="594.29"/>
  </r>
  <r>
    <x v="98"/>
    <x v="6"/>
    <x v="1"/>
    <x v="1"/>
    <n v="9"/>
    <n v="1719"/>
    <n v="251.85"/>
  </r>
  <r>
    <x v="968"/>
    <x v="7"/>
    <x v="2"/>
    <x v="3"/>
    <n v="6"/>
    <n v="1956"/>
    <n v="434.03"/>
  </r>
  <r>
    <x v="866"/>
    <x v="8"/>
    <x v="1"/>
    <x v="3"/>
    <n v="3"/>
    <n v="1875"/>
    <n v="152.07"/>
  </r>
  <r>
    <x v="355"/>
    <x v="6"/>
    <x v="1"/>
    <x v="2"/>
    <n v="4"/>
    <n v="984"/>
    <n v="157.72"/>
  </r>
  <r>
    <x v="500"/>
    <x v="3"/>
    <x v="2"/>
    <x v="2"/>
    <n v="4"/>
    <n v="3616"/>
    <n v="789.63"/>
  </r>
  <r>
    <x v="941"/>
    <x v="2"/>
    <x v="2"/>
    <x v="3"/>
    <n v="5"/>
    <n v="4560"/>
    <n v="1180.8"/>
  </r>
  <r>
    <x v="277"/>
    <x v="7"/>
    <x v="2"/>
    <x v="3"/>
    <n v="8"/>
    <n v="7496"/>
    <n v="2019.32"/>
  </r>
  <r>
    <x v="653"/>
    <x v="3"/>
    <x v="2"/>
    <x v="0"/>
    <n v="5"/>
    <n v="5070"/>
    <n v="889.97"/>
  </r>
  <r>
    <x v="915"/>
    <x v="5"/>
    <x v="2"/>
    <x v="0"/>
    <n v="5"/>
    <n v="4505"/>
    <n v="1351.28"/>
  </r>
  <r>
    <x v="555"/>
    <x v="2"/>
    <x v="2"/>
    <x v="2"/>
    <n v="2"/>
    <n v="1916"/>
    <n v="503.83"/>
  </r>
  <r>
    <x v="94"/>
    <x v="3"/>
    <x v="2"/>
    <x v="3"/>
    <n v="7"/>
    <n v="8113"/>
    <n v="1103.57"/>
  </r>
  <r>
    <x v="581"/>
    <x v="9"/>
    <x v="2"/>
    <x v="0"/>
    <n v="9"/>
    <n v="1809"/>
    <n v="392.44"/>
  </r>
  <r>
    <x v="300"/>
    <x v="9"/>
    <x v="2"/>
    <x v="2"/>
    <n v="3"/>
    <n v="1227"/>
    <n v="229.75"/>
  </r>
  <r>
    <x v="50"/>
    <x v="9"/>
    <x v="2"/>
    <x v="2"/>
    <n v="6"/>
    <n v="2040"/>
    <n v="124.65"/>
  </r>
  <r>
    <x v="733"/>
    <x v="2"/>
    <x v="2"/>
    <x v="3"/>
    <n v="6"/>
    <n v="6324"/>
    <n v="629.20000000000005"/>
  </r>
  <r>
    <x v="1002"/>
    <x v="0"/>
    <x v="0"/>
    <x v="0"/>
    <n v="3"/>
    <n v="2724"/>
    <n v="521.24"/>
  </r>
  <r>
    <x v="654"/>
    <x v="9"/>
    <x v="2"/>
    <x v="2"/>
    <n v="1"/>
    <n v="1188"/>
    <n v="110.32"/>
  </r>
  <r>
    <x v="203"/>
    <x v="8"/>
    <x v="1"/>
    <x v="1"/>
    <n v="8"/>
    <n v="8776"/>
    <n v="1561.07"/>
  </r>
  <r>
    <x v="1002"/>
    <x v="9"/>
    <x v="2"/>
    <x v="2"/>
    <n v="9"/>
    <n v="5553"/>
    <n v="1432.76"/>
  </r>
  <r>
    <x v="866"/>
    <x v="7"/>
    <x v="2"/>
    <x v="2"/>
    <n v="2"/>
    <n v="970"/>
    <n v="262.19"/>
  </r>
  <r>
    <x v="494"/>
    <x v="8"/>
    <x v="1"/>
    <x v="2"/>
    <n v="5"/>
    <n v="940"/>
    <n v="56.7"/>
  </r>
  <r>
    <x v="1015"/>
    <x v="0"/>
    <x v="0"/>
    <x v="1"/>
    <n v="1"/>
    <n v="1175"/>
    <n v="171.51"/>
  </r>
  <r>
    <x v="256"/>
    <x v="9"/>
    <x v="2"/>
    <x v="1"/>
    <n v="9"/>
    <n v="4860"/>
    <n v="1425.54"/>
  </r>
  <r>
    <x v="264"/>
    <x v="4"/>
    <x v="1"/>
    <x v="0"/>
    <n v="1"/>
    <n v="987"/>
    <n v="207.69"/>
  </r>
  <r>
    <x v="432"/>
    <x v="3"/>
    <x v="2"/>
    <x v="1"/>
    <n v="7"/>
    <n v="2968"/>
    <n v="485.13"/>
  </r>
  <r>
    <x v="402"/>
    <x v="1"/>
    <x v="1"/>
    <x v="1"/>
    <n v="3"/>
    <n v="2172"/>
    <n v="364.77"/>
  </r>
  <r>
    <x v="105"/>
    <x v="4"/>
    <x v="1"/>
    <x v="2"/>
    <n v="7"/>
    <n v="3941"/>
    <n v="628.96"/>
  </r>
  <r>
    <x v="753"/>
    <x v="4"/>
    <x v="1"/>
    <x v="0"/>
    <n v="7"/>
    <n v="2261"/>
    <n v="566.36"/>
  </r>
  <r>
    <x v="494"/>
    <x v="5"/>
    <x v="2"/>
    <x v="3"/>
    <n v="9"/>
    <n v="8802"/>
    <n v="2519.9299999999998"/>
  </r>
  <r>
    <x v="745"/>
    <x v="0"/>
    <x v="0"/>
    <x v="2"/>
    <n v="5"/>
    <n v="3025"/>
    <n v="172.43"/>
  </r>
  <r>
    <x v="714"/>
    <x v="0"/>
    <x v="0"/>
    <x v="0"/>
    <n v="4"/>
    <n v="4428"/>
    <n v="600.54999999999995"/>
  </r>
  <r>
    <x v="166"/>
    <x v="1"/>
    <x v="1"/>
    <x v="3"/>
    <n v="9"/>
    <n v="7344"/>
    <n v="1417.84"/>
  </r>
  <r>
    <x v="770"/>
    <x v="8"/>
    <x v="1"/>
    <x v="1"/>
    <n v="4"/>
    <n v="2236"/>
    <n v="167.78"/>
  </r>
  <r>
    <x v="1016"/>
    <x v="7"/>
    <x v="2"/>
    <x v="2"/>
    <n v="8"/>
    <n v="536"/>
    <n v="57.08"/>
  </r>
  <r>
    <x v="836"/>
    <x v="6"/>
    <x v="1"/>
    <x v="0"/>
    <n v="5"/>
    <n v="1980"/>
    <n v="249.22"/>
  </r>
  <r>
    <x v="833"/>
    <x v="0"/>
    <x v="0"/>
    <x v="1"/>
    <n v="6"/>
    <n v="2100"/>
    <n v="202.86"/>
  </r>
  <r>
    <x v="498"/>
    <x v="5"/>
    <x v="2"/>
    <x v="3"/>
    <n v="3"/>
    <n v="1497"/>
    <n v="122.76"/>
  </r>
  <r>
    <x v="361"/>
    <x v="9"/>
    <x v="2"/>
    <x v="0"/>
    <n v="6"/>
    <n v="4200"/>
    <n v="1013.7"/>
  </r>
  <r>
    <x v="853"/>
    <x v="4"/>
    <x v="1"/>
    <x v="2"/>
    <n v="2"/>
    <n v="1242"/>
    <n v="191.82"/>
  </r>
  <r>
    <x v="1017"/>
    <x v="5"/>
    <x v="2"/>
    <x v="2"/>
    <n v="5"/>
    <n v="1570"/>
    <n v="312.81"/>
  </r>
  <r>
    <x v="336"/>
    <x v="6"/>
    <x v="1"/>
    <x v="1"/>
    <n v="4"/>
    <n v="428"/>
    <n v="86.62"/>
  </r>
  <r>
    <x v="374"/>
    <x v="0"/>
    <x v="0"/>
    <x v="2"/>
    <n v="1"/>
    <n v="914"/>
    <n v="270.74"/>
  </r>
  <r>
    <x v="764"/>
    <x v="2"/>
    <x v="2"/>
    <x v="0"/>
    <n v="3"/>
    <n v="465"/>
    <n v="98.93"/>
  </r>
  <r>
    <x v="866"/>
    <x v="5"/>
    <x v="2"/>
    <x v="0"/>
    <n v="2"/>
    <n v="1062"/>
    <n v="83.49"/>
  </r>
  <r>
    <x v="1018"/>
    <x v="3"/>
    <x v="2"/>
    <x v="2"/>
    <n v="8"/>
    <n v="8720"/>
    <n v="1984.11"/>
  </r>
  <r>
    <x v="649"/>
    <x v="1"/>
    <x v="1"/>
    <x v="2"/>
    <n v="6"/>
    <n v="1308"/>
    <n v="343.61"/>
  </r>
  <r>
    <x v="1019"/>
    <x v="4"/>
    <x v="1"/>
    <x v="2"/>
    <n v="9"/>
    <n v="8514"/>
    <n v="1291.97"/>
  </r>
  <r>
    <x v="33"/>
    <x v="2"/>
    <x v="2"/>
    <x v="0"/>
    <n v="2"/>
    <n v="1212"/>
    <n v="151.07"/>
  </r>
  <r>
    <x v="1009"/>
    <x v="4"/>
    <x v="1"/>
    <x v="3"/>
    <n v="4"/>
    <n v="2576"/>
    <n v="503.57"/>
  </r>
  <r>
    <x v="673"/>
    <x v="8"/>
    <x v="1"/>
    <x v="1"/>
    <n v="8"/>
    <n v="4800"/>
    <n v="606.19000000000005"/>
  </r>
  <r>
    <x v="186"/>
    <x v="5"/>
    <x v="2"/>
    <x v="1"/>
    <n v="5"/>
    <n v="1440"/>
    <n v="274.54000000000002"/>
  </r>
  <r>
    <x v="854"/>
    <x v="5"/>
    <x v="2"/>
    <x v="0"/>
    <n v="9"/>
    <n v="10251"/>
    <n v="737.45"/>
  </r>
  <r>
    <x v="961"/>
    <x v="7"/>
    <x v="2"/>
    <x v="0"/>
    <n v="7"/>
    <n v="3038"/>
    <n v="570.98"/>
  </r>
  <r>
    <x v="167"/>
    <x v="6"/>
    <x v="1"/>
    <x v="3"/>
    <n v="9"/>
    <n v="6993"/>
    <n v="1945.56"/>
  </r>
  <r>
    <x v="588"/>
    <x v="6"/>
    <x v="1"/>
    <x v="1"/>
    <n v="4"/>
    <n v="1632"/>
    <n v="247.88"/>
  </r>
  <r>
    <x v="943"/>
    <x v="8"/>
    <x v="1"/>
    <x v="1"/>
    <n v="9"/>
    <n v="5706"/>
    <n v="1704.8"/>
  </r>
  <r>
    <x v="891"/>
    <x v="3"/>
    <x v="2"/>
    <x v="0"/>
    <n v="9"/>
    <n v="9657"/>
    <n v="1187.22"/>
  </r>
  <r>
    <x v="429"/>
    <x v="5"/>
    <x v="2"/>
    <x v="1"/>
    <n v="5"/>
    <n v="4405"/>
    <n v="450.83"/>
  </r>
  <r>
    <x v="1020"/>
    <x v="8"/>
    <x v="1"/>
    <x v="1"/>
    <n v="4"/>
    <n v="1720"/>
    <n v="360.78"/>
  </r>
  <r>
    <x v="162"/>
    <x v="3"/>
    <x v="2"/>
    <x v="2"/>
    <n v="7"/>
    <n v="4557"/>
    <n v="234.62"/>
  </r>
  <r>
    <x v="1019"/>
    <x v="4"/>
    <x v="1"/>
    <x v="3"/>
    <n v="7"/>
    <n v="2380"/>
    <n v="431.43"/>
  </r>
  <r>
    <x v="691"/>
    <x v="4"/>
    <x v="1"/>
    <x v="0"/>
    <n v="8"/>
    <n v="456"/>
    <n v="74.989999999999995"/>
  </r>
  <r>
    <x v="974"/>
    <x v="3"/>
    <x v="2"/>
    <x v="1"/>
    <n v="6"/>
    <n v="6534"/>
    <n v="355.03"/>
  </r>
  <r>
    <x v="969"/>
    <x v="7"/>
    <x v="2"/>
    <x v="0"/>
    <n v="6"/>
    <n v="3456"/>
    <n v="307.45999999999998"/>
  </r>
  <r>
    <x v="1021"/>
    <x v="8"/>
    <x v="1"/>
    <x v="3"/>
    <n v="9"/>
    <n v="8163"/>
    <n v="2352.46"/>
  </r>
  <r>
    <x v="1022"/>
    <x v="4"/>
    <x v="1"/>
    <x v="0"/>
    <n v="6"/>
    <n v="4656"/>
    <n v="601.71"/>
  </r>
  <r>
    <x v="615"/>
    <x v="7"/>
    <x v="2"/>
    <x v="3"/>
    <n v="2"/>
    <n v="966"/>
    <n v="241.54"/>
  </r>
  <r>
    <x v="899"/>
    <x v="1"/>
    <x v="1"/>
    <x v="1"/>
    <n v="4"/>
    <n v="2580"/>
    <n v="669.67"/>
  </r>
  <r>
    <x v="186"/>
    <x v="3"/>
    <x v="2"/>
    <x v="2"/>
    <n v="9"/>
    <n v="8127"/>
    <n v="1906.5"/>
  </r>
  <r>
    <x v="913"/>
    <x v="5"/>
    <x v="2"/>
    <x v="2"/>
    <n v="4"/>
    <n v="2128"/>
    <n v="614.04999999999995"/>
  </r>
  <r>
    <x v="918"/>
    <x v="7"/>
    <x v="2"/>
    <x v="2"/>
    <n v="9"/>
    <n v="6417"/>
    <n v="1100.52"/>
  </r>
  <r>
    <x v="165"/>
    <x v="8"/>
    <x v="1"/>
    <x v="1"/>
    <n v="7"/>
    <n v="3997"/>
    <n v="494.78"/>
  </r>
  <r>
    <x v="107"/>
    <x v="9"/>
    <x v="2"/>
    <x v="3"/>
    <n v="1"/>
    <n v="879"/>
    <n v="149.52000000000001"/>
  </r>
  <r>
    <x v="319"/>
    <x v="9"/>
    <x v="2"/>
    <x v="0"/>
    <n v="3"/>
    <n v="2415"/>
    <n v="538.39"/>
  </r>
  <r>
    <x v="352"/>
    <x v="3"/>
    <x v="2"/>
    <x v="3"/>
    <n v="4"/>
    <n v="1064"/>
    <n v="314.83999999999997"/>
  </r>
  <r>
    <x v="958"/>
    <x v="1"/>
    <x v="1"/>
    <x v="2"/>
    <n v="4"/>
    <n v="1156"/>
    <n v="326.92"/>
  </r>
  <r>
    <x v="381"/>
    <x v="7"/>
    <x v="2"/>
    <x v="0"/>
    <n v="1"/>
    <n v="1184"/>
    <n v="218.27"/>
  </r>
  <r>
    <x v="272"/>
    <x v="8"/>
    <x v="1"/>
    <x v="2"/>
    <n v="3"/>
    <n v="1950"/>
    <n v="211.16"/>
  </r>
  <r>
    <x v="891"/>
    <x v="9"/>
    <x v="2"/>
    <x v="2"/>
    <n v="4"/>
    <n v="1088"/>
    <n v="295.08999999999997"/>
  </r>
  <r>
    <x v="10"/>
    <x v="0"/>
    <x v="0"/>
    <x v="2"/>
    <n v="6"/>
    <n v="4380"/>
    <n v="522.29999999999995"/>
  </r>
  <r>
    <x v="341"/>
    <x v="3"/>
    <x v="2"/>
    <x v="2"/>
    <n v="1"/>
    <n v="998"/>
    <n v="196.17"/>
  </r>
  <r>
    <x v="538"/>
    <x v="7"/>
    <x v="2"/>
    <x v="1"/>
    <n v="6"/>
    <n v="5766"/>
    <n v="675.17"/>
  </r>
  <r>
    <x v="62"/>
    <x v="2"/>
    <x v="2"/>
    <x v="3"/>
    <n v="6"/>
    <n v="3120"/>
    <n v="274.64999999999998"/>
  </r>
  <r>
    <x v="1008"/>
    <x v="0"/>
    <x v="0"/>
    <x v="1"/>
    <n v="7"/>
    <n v="637"/>
    <n v="68.11"/>
  </r>
  <r>
    <x v="845"/>
    <x v="9"/>
    <x v="2"/>
    <x v="3"/>
    <n v="6"/>
    <n v="3306"/>
    <n v="697.74"/>
  </r>
  <r>
    <x v="169"/>
    <x v="6"/>
    <x v="1"/>
    <x v="2"/>
    <n v="6"/>
    <n v="7020"/>
    <n v="726.72"/>
  </r>
  <r>
    <x v="615"/>
    <x v="3"/>
    <x v="2"/>
    <x v="2"/>
    <n v="7"/>
    <n v="5971"/>
    <n v="502.14"/>
  </r>
  <r>
    <x v="424"/>
    <x v="9"/>
    <x v="2"/>
    <x v="0"/>
    <n v="2"/>
    <n v="750"/>
    <n v="77.680000000000007"/>
  </r>
  <r>
    <x v="395"/>
    <x v="2"/>
    <x v="2"/>
    <x v="0"/>
    <n v="3"/>
    <n v="2379"/>
    <n v="523"/>
  </r>
  <r>
    <x v="116"/>
    <x v="3"/>
    <x v="2"/>
    <x v="0"/>
    <n v="1"/>
    <n v="699"/>
    <n v="108.94"/>
  </r>
  <r>
    <x v="283"/>
    <x v="3"/>
    <x v="2"/>
    <x v="3"/>
    <n v="9"/>
    <n v="6876"/>
    <n v="1895.24"/>
  </r>
  <r>
    <x v="914"/>
    <x v="6"/>
    <x v="1"/>
    <x v="0"/>
    <n v="8"/>
    <n v="1800"/>
    <n v="494.02"/>
  </r>
  <r>
    <x v="325"/>
    <x v="2"/>
    <x v="2"/>
    <x v="2"/>
    <n v="5"/>
    <n v="1255"/>
    <n v="236.25"/>
  </r>
  <r>
    <x v="824"/>
    <x v="5"/>
    <x v="2"/>
    <x v="1"/>
    <n v="9"/>
    <n v="1998"/>
    <n v="343.58"/>
  </r>
  <r>
    <x v="818"/>
    <x v="4"/>
    <x v="1"/>
    <x v="1"/>
    <n v="1"/>
    <n v="307"/>
    <n v="80.19"/>
  </r>
  <r>
    <x v="759"/>
    <x v="0"/>
    <x v="0"/>
    <x v="3"/>
    <n v="1"/>
    <n v="235"/>
    <n v="54.87"/>
  </r>
  <r>
    <x v="285"/>
    <x v="6"/>
    <x v="1"/>
    <x v="2"/>
    <n v="6"/>
    <n v="1506"/>
    <n v="407.73"/>
  </r>
  <r>
    <x v="756"/>
    <x v="2"/>
    <x v="2"/>
    <x v="0"/>
    <n v="8"/>
    <n v="2464"/>
    <n v="216.51"/>
  </r>
  <r>
    <x v="193"/>
    <x v="5"/>
    <x v="2"/>
    <x v="2"/>
    <n v="2"/>
    <n v="322"/>
    <n v="42.03"/>
  </r>
  <r>
    <x v="956"/>
    <x v="0"/>
    <x v="0"/>
    <x v="3"/>
    <n v="4"/>
    <n v="1100"/>
    <n v="100.02"/>
  </r>
  <r>
    <x v="123"/>
    <x v="8"/>
    <x v="1"/>
    <x v="2"/>
    <n v="4"/>
    <n v="2188"/>
    <n v="265.54000000000002"/>
  </r>
  <r>
    <x v="488"/>
    <x v="0"/>
    <x v="0"/>
    <x v="3"/>
    <n v="9"/>
    <n v="2934"/>
    <n v="473.34"/>
  </r>
  <r>
    <x v="254"/>
    <x v="4"/>
    <x v="1"/>
    <x v="2"/>
    <n v="8"/>
    <n v="9224"/>
    <n v="514.05999999999995"/>
  </r>
  <r>
    <x v="787"/>
    <x v="6"/>
    <x v="1"/>
    <x v="1"/>
    <n v="4"/>
    <n v="2436"/>
    <n v="142.81"/>
  </r>
  <r>
    <x v="482"/>
    <x v="5"/>
    <x v="2"/>
    <x v="3"/>
    <n v="4"/>
    <n v="972"/>
    <n v="97.55"/>
  </r>
  <r>
    <x v="141"/>
    <x v="9"/>
    <x v="2"/>
    <x v="2"/>
    <n v="6"/>
    <n v="5484"/>
    <n v="540.4"/>
  </r>
  <r>
    <x v="892"/>
    <x v="3"/>
    <x v="2"/>
    <x v="3"/>
    <n v="8"/>
    <n v="3152"/>
    <n v="337.36"/>
  </r>
  <r>
    <x v="122"/>
    <x v="8"/>
    <x v="1"/>
    <x v="1"/>
    <n v="8"/>
    <n v="6032"/>
    <n v="870.17"/>
  </r>
  <r>
    <x v="434"/>
    <x v="3"/>
    <x v="2"/>
    <x v="3"/>
    <n v="7"/>
    <n v="6384"/>
    <n v="1324.49"/>
  </r>
  <r>
    <x v="749"/>
    <x v="0"/>
    <x v="0"/>
    <x v="1"/>
    <n v="5"/>
    <n v="3705"/>
    <n v="707.08"/>
  </r>
  <r>
    <x v="254"/>
    <x v="5"/>
    <x v="2"/>
    <x v="2"/>
    <n v="6"/>
    <n v="5580"/>
    <n v="394.03"/>
  </r>
  <r>
    <x v="812"/>
    <x v="3"/>
    <x v="2"/>
    <x v="1"/>
    <n v="2"/>
    <n v="1236"/>
    <n v="120.74"/>
  </r>
  <r>
    <x v="610"/>
    <x v="3"/>
    <x v="2"/>
    <x v="0"/>
    <n v="8"/>
    <n v="7040"/>
    <n v="1969.93"/>
  </r>
  <r>
    <x v="525"/>
    <x v="3"/>
    <x v="2"/>
    <x v="1"/>
    <n v="9"/>
    <n v="909"/>
    <n v="138.04"/>
  </r>
  <r>
    <x v="618"/>
    <x v="1"/>
    <x v="1"/>
    <x v="2"/>
    <n v="1"/>
    <n v="106"/>
    <n v="7.24"/>
  </r>
  <r>
    <x v="916"/>
    <x v="5"/>
    <x v="2"/>
    <x v="2"/>
    <n v="1"/>
    <n v="281"/>
    <n v="67.849999999999994"/>
  </r>
  <r>
    <x v="179"/>
    <x v="3"/>
    <x v="2"/>
    <x v="1"/>
    <n v="6"/>
    <n v="6768"/>
    <n v="1851.01"/>
  </r>
  <r>
    <x v="401"/>
    <x v="9"/>
    <x v="2"/>
    <x v="3"/>
    <n v="6"/>
    <n v="4302"/>
    <n v="276.35000000000002"/>
  </r>
  <r>
    <x v="511"/>
    <x v="7"/>
    <x v="2"/>
    <x v="0"/>
    <n v="9"/>
    <n v="7146"/>
    <n v="2125.44"/>
  </r>
  <r>
    <x v="390"/>
    <x v="7"/>
    <x v="2"/>
    <x v="2"/>
    <n v="3"/>
    <n v="582"/>
    <n v="48.08"/>
  </r>
  <r>
    <x v="452"/>
    <x v="4"/>
    <x v="1"/>
    <x v="0"/>
    <n v="6"/>
    <n v="576"/>
    <n v="162.75"/>
  </r>
  <r>
    <x v="425"/>
    <x v="8"/>
    <x v="1"/>
    <x v="2"/>
    <n v="5"/>
    <n v="4265"/>
    <n v="796.12"/>
  </r>
  <r>
    <x v="96"/>
    <x v="5"/>
    <x v="2"/>
    <x v="1"/>
    <n v="8"/>
    <n v="5368"/>
    <n v="333.53"/>
  </r>
  <r>
    <x v="10"/>
    <x v="4"/>
    <x v="1"/>
    <x v="2"/>
    <n v="1"/>
    <n v="314"/>
    <n v="66.23"/>
  </r>
  <r>
    <x v="413"/>
    <x v="2"/>
    <x v="2"/>
    <x v="3"/>
    <n v="6"/>
    <n v="2676"/>
    <n v="646.70000000000005"/>
  </r>
  <r>
    <x v="516"/>
    <x v="9"/>
    <x v="2"/>
    <x v="0"/>
    <n v="4"/>
    <n v="3384"/>
    <n v="947.52"/>
  </r>
  <r>
    <x v="50"/>
    <x v="1"/>
    <x v="1"/>
    <x v="3"/>
    <n v="6"/>
    <n v="3186"/>
    <n v="794.94"/>
  </r>
  <r>
    <x v="888"/>
    <x v="5"/>
    <x v="2"/>
    <x v="2"/>
    <n v="4"/>
    <n v="1832"/>
    <n v="528.69000000000005"/>
  </r>
  <r>
    <x v="795"/>
    <x v="0"/>
    <x v="0"/>
    <x v="2"/>
    <n v="8"/>
    <n v="4784"/>
    <n v="769.91"/>
  </r>
  <r>
    <x v="959"/>
    <x v="2"/>
    <x v="2"/>
    <x v="3"/>
    <n v="1"/>
    <n v="381"/>
    <n v="63.18"/>
  </r>
  <r>
    <x v="1017"/>
    <x v="7"/>
    <x v="2"/>
    <x v="2"/>
    <n v="9"/>
    <n v="4527"/>
    <n v="677.34"/>
  </r>
  <r>
    <x v="779"/>
    <x v="0"/>
    <x v="0"/>
    <x v="2"/>
    <n v="4"/>
    <n v="1612"/>
    <n v="240.42"/>
  </r>
  <r>
    <x v="707"/>
    <x v="0"/>
    <x v="0"/>
    <x v="1"/>
    <n v="2"/>
    <n v="1918"/>
    <n v="435.56"/>
  </r>
  <r>
    <x v="990"/>
    <x v="3"/>
    <x v="2"/>
    <x v="1"/>
    <n v="1"/>
    <n v="179"/>
    <n v="42.37"/>
  </r>
  <r>
    <x v="678"/>
    <x v="5"/>
    <x v="2"/>
    <x v="3"/>
    <n v="3"/>
    <n v="3153"/>
    <n v="224.29"/>
  </r>
  <r>
    <x v="35"/>
    <x v="2"/>
    <x v="2"/>
    <x v="1"/>
    <n v="8"/>
    <n v="3864"/>
    <n v="855.75"/>
  </r>
  <r>
    <x v="920"/>
    <x v="0"/>
    <x v="0"/>
    <x v="2"/>
    <n v="5"/>
    <n v="2440"/>
    <n v="570.78"/>
  </r>
  <r>
    <x v="524"/>
    <x v="3"/>
    <x v="2"/>
    <x v="2"/>
    <n v="6"/>
    <n v="3660"/>
    <n v="675.38"/>
  </r>
  <r>
    <x v="444"/>
    <x v="5"/>
    <x v="2"/>
    <x v="1"/>
    <n v="3"/>
    <n v="318"/>
    <n v="49.93"/>
  </r>
  <r>
    <x v="309"/>
    <x v="1"/>
    <x v="1"/>
    <x v="2"/>
    <n v="3"/>
    <n v="483"/>
    <n v="63.27"/>
  </r>
  <r>
    <x v="200"/>
    <x v="4"/>
    <x v="1"/>
    <x v="0"/>
    <n v="6"/>
    <n v="6774"/>
    <n v="960.41"/>
  </r>
  <r>
    <x v="240"/>
    <x v="6"/>
    <x v="1"/>
    <x v="3"/>
    <n v="5"/>
    <n v="5310"/>
    <n v="806.12"/>
  </r>
  <r>
    <x v="489"/>
    <x v="8"/>
    <x v="1"/>
    <x v="3"/>
    <n v="6"/>
    <n v="5154"/>
    <n v="779.43"/>
  </r>
  <r>
    <x v="910"/>
    <x v="8"/>
    <x v="1"/>
    <x v="1"/>
    <n v="9"/>
    <n v="6741"/>
    <n v="823.17"/>
  </r>
  <r>
    <x v="728"/>
    <x v="3"/>
    <x v="2"/>
    <x v="0"/>
    <n v="2"/>
    <n v="520"/>
    <n v="61.33"/>
  </r>
  <r>
    <x v="534"/>
    <x v="2"/>
    <x v="2"/>
    <x v="1"/>
    <n v="7"/>
    <n v="1120"/>
    <n v="111.79"/>
  </r>
  <r>
    <x v="535"/>
    <x v="8"/>
    <x v="1"/>
    <x v="1"/>
    <n v="1"/>
    <n v="911"/>
    <n v="155.30000000000001"/>
  </r>
  <r>
    <x v="996"/>
    <x v="6"/>
    <x v="1"/>
    <x v="2"/>
    <n v="8"/>
    <n v="1064"/>
    <n v="190.73"/>
  </r>
  <r>
    <x v="74"/>
    <x v="9"/>
    <x v="2"/>
    <x v="0"/>
    <n v="7"/>
    <n v="1981"/>
    <n v="404.3"/>
  </r>
  <r>
    <x v="776"/>
    <x v="3"/>
    <x v="2"/>
    <x v="2"/>
    <n v="5"/>
    <n v="4280"/>
    <n v="540.47"/>
  </r>
  <r>
    <x v="759"/>
    <x v="5"/>
    <x v="2"/>
    <x v="2"/>
    <n v="5"/>
    <n v="5125"/>
    <n v="268.39"/>
  </r>
  <r>
    <x v="618"/>
    <x v="6"/>
    <x v="1"/>
    <x v="3"/>
    <n v="7"/>
    <n v="1575"/>
    <n v="313.95999999999998"/>
  </r>
  <r>
    <x v="74"/>
    <x v="2"/>
    <x v="2"/>
    <x v="1"/>
    <n v="9"/>
    <n v="9972"/>
    <n v="1868.64"/>
  </r>
  <r>
    <x v="430"/>
    <x v="7"/>
    <x v="2"/>
    <x v="1"/>
    <n v="8"/>
    <n v="4576"/>
    <n v="900.04"/>
  </r>
  <r>
    <x v="1001"/>
    <x v="6"/>
    <x v="1"/>
    <x v="2"/>
    <n v="7"/>
    <n v="6559"/>
    <n v="1141.32"/>
  </r>
  <r>
    <x v="50"/>
    <x v="2"/>
    <x v="2"/>
    <x v="2"/>
    <n v="1"/>
    <n v="619"/>
    <n v="35.36"/>
  </r>
  <r>
    <x v="83"/>
    <x v="4"/>
    <x v="1"/>
    <x v="3"/>
    <n v="8"/>
    <n v="2488"/>
    <n v="151.94999999999999"/>
  </r>
  <r>
    <x v="952"/>
    <x v="1"/>
    <x v="1"/>
    <x v="3"/>
    <n v="4"/>
    <n v="2536"/>
    <n v="148.85"/>
  </r>
  <r>
    <x v="106"/>
    <x v="2"/>
    <x v="2"/>
    <x v="3"/>
    <n v="8"/>
    <n v="5416"/>
    <n v="297.5"/>
  </r>
  <r>
    <x v="694"/>
    <x v="5"/>
    <x v="2"/>
    <x v="1"/>
    <n v="2"/>
    <n v="2334"/>
    <n v="158.07"/>
  </r>
  <r>
    <x v="1023"/>
    <x v="3"/>
    <x v="2"/>
    <x v="1"/>
    <n v="9"/>
    <n v="1080"/>
    <n v="183.42"/>
  </r>
  <r>
    <x v="111"/>
    <x v="2"/>
    <x v="2"/>
    <x v="2"/>
    <n v="4"/>
    <n v="1324"/>
    <n v="127.07"/>
  </r>
  <r>
    <x v="940"/>
    <x v="3"/>
    <x v="2"/>
    <x v="3"/>
    <n v="2"/>
    <n v="2304"/>
    <n v="444.08"/>
  </r>
  <r>
    <x v="819"/>
    <x v="7"/>
    <x v="2"/>
    <x v="1"/>
    <n v="4"/>
    <n v="4736"/>
    <n v="1026.24"/>
  </r>
  <r>
    <x v="939"/>
    <x v="1"/>
    <x v="1"/>
    <x v="3"/>
    <n v="9"/>
    <n v="2925"/>
    <n v="457.49"/>
  </r>
  <r>
    <x v="760"/>
    <x v="9"/>
    <x v="2"/>
    <x v="1"/>
    <n v="9"/>
    <n v="6345"/>
    <n v="1627.26"/>
  </r>
  <r>
    <x v="355"/>
    <x v="4"/>
    <x v="1"/>
    <x v="1"/>
    <n v="9"/>
    <n v="4221"/>
    <n v="912.84"/>
  </r>
  <r>
    <x v="521"/>
    <x v="4"/>
    <x v="1"/>
    <x v="2"/>
    <n v="7"/>
    <n v="462"/>
    <n v="56.89"/>
  </r>
  <r>
    <x v="728"/>
    <x v="6"/>
    <x v="1"/>
    <x v="0"/>
    <n v="7"/>
    <n v="7588"/>
    <n v="1625.55"/>
  </r>
  <r>
    <x v="36"/>
    <x v="8"/>
    <x v="1"/>
    <x v="0"/>
    <n v="6"/>
    <n v="5232"/>
    <n v="1270.6400000000001"/>
  </r>
  <r>
    <x v="452"/>
    <x v="3"/>
    <x v="2"/>
    <x v="1"/>
    <n v="8"/>
    <n v="1440"/>
    <n v="402.06"/>
  </r>
  <r>
    <x v="524"/>
    <x v="6"/>
    <x v="1"/>
    <x v="0"/>
    <n v="2"/>
    <n v="1026"/>
    <n v="226.4"/>
  </r>
  <r>
    <x v="769"/>
    <x v="3"/>
    <x v="2"/>
    <x v="0"/>
    <n v="7"/>
    <n v="7455"/>
    <n v="1008.42"/>
  </r>
  <r>
    <x v="639"/>
    <x v="0"/>
    <x v="0"/>
    <x v="1"/>
    <n v="8"/>
    <n v="2456"/>
    <n v="404.35"/>
  </r>
  <r>
    <x v="506"/>
    <x v="3"/>
    <x v="2"/>
    <x v="0"/>
    <n v="3"/>
    <n v="2859"/>
    <n v="404.56"/>
  </r>
  <r>
    <x v="288"/>
    <x v="8"/>
    <x v="1"/>
    <x v="1"/>
    <n v="1"/>
    <n v="311"/>
    <n v="50.66"/>
  </r>
  <r>
    <x v="934"/>
    <x v="0"/>
    <x v="0"/>
    <x v="1"/>
    <n v="9"/>
    <n v="1260"/>
    <n v="246.6"/>
  </r>
  <r>
    <x v="842"/>
    <x v="8"/>
    <x v="1"/>
    <x v="2"/>
    <n v="1"/>
    <n v="466"/>
    <n v="102.48"/>
  </r>
  <r>
    <x v="1024"/>
    <x v="9"/>
    <x v="2"/>
    <x v="3"/>
    <n v="3"/>
    <n v="867"/>
    <n v="58.2"/>
  </r>
  <r>
    <x v="144"/>
    <x v="6"/>
    <x v="1"/>
    <x v="2"/>
    <n v="6"/>
    <n v="3888"/>
    <n v="275.72000000000003"/>
  </r>
  <r>
    <x v="294"/>
    <x v="2"/>
    <x v="2"/>
    <x v="0"/>
    <n v="4"/>
    <n v="3032"/>
    <n v="347.2"/>
  </r>
  <r>
    <x v="488"/>
    <x v="2"/>
    <x v="2"/>
    <x v="0"/>
    <n v="7"/>
    <n v="4704"/>
    <n v="978.81"/>
  </r>
  <r>
    <x v="930"/>
    <x v="0"/>
    <x v="0"/>
    <x v="3"/>
    <n v="3"/>
    <n v="3186"/>
    <n v="527.75"/>
  </r>
  <r>
    <x v="1025"/>
    <x v="0"/>
    <x v="0"/>
    <x v="0"/>
    <n v="9"/>
    <n v="6183"/>
    <n v="359.54"/>
  </r>
  <r>
    <x v="634"/>
    <x v="5"/>
    <x v="2"/>
    <x v="3"/>
    <n v="1"/>
    <n v="243"/>
    <n v="21.75"/>
  </r>
  <r>
    <x v="657"/>
    <x v="7"/>
    <x v="2"/>
    <x v="0"/>
    <n v="3"/>
    <n v="897"/>
    <n v="235.67"/>
  </r>
  <r>
    <x v="453"/>
    <x v="4"/>
    <x v="1"/>
    <x v="3"/>
    <n v="9"/>
    <n v="4563"/>
    <n v="675.62"/>
  </r>
  <r>
    <x v="1026"/>
    <x v="9"/>
    <x v="2"/>
    <x v="2"/>
    <n v="4"/>
    <n v="628"/>
    <n v="156.97999999999999"/>
  </r>
  <r>
    <x v="378"/>
    <x v="6"/>
    <x v="1"/>
    <x v="1"/>
    <n v="6"/>
    <n v="1050"/>
    <n v="172.83"/>
  </r>
  <r>
    <x v="967"/>
    <x v="6"/>
    <x v="1"/>
    <x v="0"/>
    <n v="8"/>
    <n v="3032"/>
    <n v="278.85000000000002"/>
  </r>
  <r>
    <x v="850"/>
    <x v="8"/>
    <x v="1"/>
    <x v="3"/>
    <n v="1"/>
    <n v="920"/>
    <n v="118.24"/>
  </r>
  <r>
    <x v="578"/>
    <x v="9"/>
    <x v="2"/>
    <x v="2"/>
    <n v="2"/>
    <n v="668"/>
    <n v="90.67"/>
  </r>
  <r>
    <x v="678"/>
    <x v="1"/>
    <x v="1"/>
    <x v="1"/>
    <n v="5"/>
    <n v="5990"/>
    <n v="1403.53"/>
  </r>
  <r>
    <x v="117"/>
    <x v="2"/>
    <x v="2"/>
    <x v="2"/>
    <n v="9"/>
    <n v="9324"/>
    <n v="1223.9000000000001"/>
  </r>
  <r>
    <x v="832"/>
    <x v="8"/>
    <x v="1"/>
    <x v="1"/>
    <n v="8"/>
    <n v="5768"/>
    <n v="368.49"/>
  </r>
  <r>
    <x v="957"/>
    <x v="9"/>
    <x v="2"/>
    <x v="0"/>
    <n v="1"/>
    <n v="1123"/>
    <n v="318.08999999999997"/>
  </r>
  <r>
    <x v="888"/>
    <x v="8"/>
    <x v="1"/>
    <x v="3"/>
    <n v="4"/>
    <n v="2336"/>
    <n v="453.04"/>
  </r>
  <r>
    <x v="424"/>
    <x v="9"/>
    <x v="2"/>
    <x v="3"/>
    <n v="6"/>
    <n v="438"/>
    <n v="26.03"/>
  </r>
  <r>
    <x v="717"/>
    <x v="2"/>
    <x v="2"/>
    <x v="0"/>
    <n v="6"/>
    <n v="5940"/>
    <n v="318.72000000000003"/>
  </r>
  <r>
    <x v="753"/>
    <x v="3"/>
    <x v="2"/>
    <x v="3"/>
    <n v="3"/>
    <n v="1848"/>
    <n v="549.34"/>
  </r>
  <r>
    <x v="278"/>
    <x v="8"/>
    <x v="1"/>
    <x v="0"/>
    <n v="3"/>
    <n v="2118"/>
    <n v="321.05"/>
  </r>
  <r>
    <x v="714"/>
    <x v="7"/>
    <x v="2"/>
    <x v="0"/>
    <n v="3"/>
    <n v="231"/>
    <n v="36.729999999999997"/>
  </r>
  <r>
    <x v="1027"/>
    <x v="4"/>
    <x v="1"/>
    <x v="2"/>
    <n v="6"/>
    <n v="978"/>
    <n v="182.46"/>
  </r>
  <r>
    <x v="608"/>
    <x v="6"/>
    <x v="1"/>
    <x v="0"/>
    <n v="5"/>
    <n v="4960"/>
    <n v="420.98"/>
  </r>
  <r>
    <x v="402"/>
    <x v="3"/>
    <x v="2"/>
    <x v="2"/>
    <n v="3"/>
    <n v="1377"/>
    <n v="330.44"/>
  </r>
  <r>
    <x v="977"/>
    <x v="3"/>
    <x v="2"/>
    <x v="3"/>
    <n v="2"/>
    <n v="1958"/>
    <n v="227.77"/>
  </r>
  <r>
    <x v="810"/>
    <x v="1"/>
    <x v="1"/>
    <x v="3"/>
    <n v="7"/>
    <n v="5607"/>
    <n v="1288.04"/>
  </r>
  <r>
    <x v="167"/>
    <x v="5"/>
    <x v="2"/>
    <x v="2"/>
    <n v="6"/>
    <n v="3504"/>
    <n v="980.7"/>
  </r>
  <r>
    <x v="546"/>
    <x v="1"/>
    <x v="1"/>
    <x v="0"/>
    <n v="4"/>
    <n v="796"/>
    <n v="75.150000000000006"/>
  </r>
  <r>
    <x v="72"/>
    <x v="6"/>
    <x v="1"/>
    <x v="0"/>
    <n v="1"/>
    <n v="342"/>
    <n v="37.64"/>
  </r>
  <r>
    <x v="72"/>
    <x v="6"/>
    <x v="1"/>
    <x v="2"/>
    <n v="7"/>
    <n v="6769"/>
    <n v="1549.67"/>
  </r>
  <r>
    <x v="556"/>
    <x v="4"/>
    <x v="1"/>
    <x v="2"/>
    <n v="9"/>
    <n v="10080"/>
    <n v="1794.73"/>
  </r>
  <r>
    <x v="953"/>
    <x v="5"/>
    <x v="2"/>
    <x v="1"/>
    <n v="7"/>
    <n v="3948"/>
    <n v="758.36"/>
  </r>
  <r>
    <x v="128"/>
    <x v="4"/>
    <x v="1"/>
    <x v="2"/>
    <n v="4"/>
    <n v="1488"/>
    <n v="74.52"/>
  </r>
  <r>
    <x v="607"/>
    <x v="1"/>
    <x v="1"/>
    <x v="2"/>
    <n v="5"/>
    <n v="1200"/>
    <n v="201.8"/>
  </r>
  <r>
    <x v="537"/>
    <x v="5"/>
    <x v="2"/>
    <x v="0"/>
    <n v="4"/>
    <n v="4476"/>
    <n v="977.6"/>
  </r>
  <r>
    <x v="598"/>
    <x v="6"/>
    <x v="1"/>
    <x v="3"/>
    <n v="1"/>
    <n v="1178"/>
    <n v="292.14999999999998"/>
  </r>
  <r>
    <x v="618"/>
    <x v="5"/>
    <x v="2"/>
    <x v="2"/>
    <n v="8"/>
    <n v="2888"/>
    <n v="149.91999999999999"/>
  </r>
  <r>
    <x v="764"/>
    <x v="7"/>
    <x v="2"/>
    <x v="2"/>
    <n v="6"/>
    <n v="1704"/>
    <n v="193.18"/>
  </r>
  <r>
    <x v="461"/>
    <x v="0"/>
    <x v="0"/>
    <x v="3"/>
    <n v="8"/>
    <n v="4200"/>
    <n v="1017.94"/>
  </r>
  <r>
    <x v="416"/>
    <x v="8"/>
    <x v="1"/>
    <x v="1"/>
    <n v="7"/>
    <n v="4417"/>
    <n v="562.79"/>
  </r>
  <r>
    <x v="229"/>
    <x v="3"/>
    <x v="2"/>
    <x v="3"/>
    <n v="4"/>
    <n v="764"/>
    <n v="178.83"/>
  </r>
  <r>
    <x v="168"/>
    <x v="4"/>
    <x v="1"/>
    <x v="2"/>
    <n v="4"/>
    <n v="4000"/>
    <n v="964.43"/>
  </r>
  <r>
    <x v="257"/>
    <x v="6"/>
    <x v="1"/>
    <x v="1"/>
    <n v="9"/>
    <n v="2331"/>
    <n v="558"/>
  </r>
  <r>
    <x v="171"/>
    <x v="1"/>
    <x v="1"/>
    <x v="3"/>
    <n v="9"/>
    <n v="8172"/>
    <n v="1296.29"/>
  </r>
  <r>
    <x v="888"/>
    <x v="9"/>
    <x v="2"/>
    <x v="0"/>
    <n v="1"/>
    <n v="761"/>
    <n v="61.15"/>
  </r>
  <r>
    <x v="574"/>
    <x v="3"/>
    <x v="2"/>
    <x v="1"/>
    <n v="2"/>
    <n v="494"/>
    <n v="56.41"/>
  </r>
  <r>
    <x v="1028"/>
    <x v="4"/>
    <x v="1"/>
    <x v="1"/>
    <n v="2"/>
    <n v="194"/>
    <n v="52.16"/>
  </r>
  <r>
    <x v="541"/>
    <x v="2"/>
    <x v="2"/>
    <x v="3"/>
    <n v="6"/>
    <n v="5820"/>
    <n v="1423.67"/>
  </r>
  <r>
    <x v="721"/>
    <x v="3"/>
    <x v="2"/>
    <x v="0"/>
    <n v="5"/>
    <n v="410"/>
    <n v="121.77"/>
  </r>
  <r>
    <x v="486"/>
    <x v="7"/>
    <x v="2"/>
    <x v="1"/>
    <n v="6"/>
    <n v="1254"/>
    <n v="360.87"/>
  </r>
  <r>
    <x v="824"/>
    <x v="2"/>
    <x v="2"/>
    <x v="1"/>
    <n v="6"/>
    <n v="3432"/>
    <n v="452.4"/>
  </r>
  <r>
    <x v="122"/>
    <x v="3"/>
    <x v="2"/>
    <x v="0"/>
    <n v="4"/>
    <n v="3792"/>
    <n v="997.99"/>
  </r>
  <r>
    <x v="422"/>
    <x v="2"/>
    <x v="2"/>
    <x v="3"/>
    <n v="7"/>
    <n v="546"/>
    <n v="117.9"/>
  </r>
  <r>
    <x v="857"/>
    <x v="5"/>
    <x v="2"/>
    <x v="1"/>
    <n v="3"/>
    <n v="1452"/>
    <n v="217.06"/>
  </r>
  <r>
    <x v="137"/>
    <x v="8"/>
    <x v="1"/>
    <x v="3"/>
    <n v="8"/>
    <n v="9296"/>
    <n v="1556.05"/>
  </r>
  <r>
    <x v="5"/>
    <x v="1"/>
    <x v="1"/>
    <x v="0"/>
    <n v="1"/>
    <n v="1160"/>
    <n v="149.81"/>
  </r>
  <r>
    <x v="1029"/>
    <x v="9"/>
    <x v="2"/>
    <x v="3"/>
    <n v="6"/>
    <n v="4728"/>
    <n v="682.01"/>
  </r>
  <r>
    <x v="1030"/>
    <x v="3"/>
    <x v="2"/>
    <x v="0"/>
    <n v="6"/>
    <n v="1836"/>
    <n v="508.81"/>
  </r>
  <r>
    <x v="280"/>
    <x v="5"/>
    <x v="2"/>
    <x v="2"/>
    <n v="7"/>
    <n v="6237"/>
    <n v="1784.89"/>
  </r>
  <r>
    <x v="207"/>
    <x v="9"/>
    <x v="2"/>
    <x v="3"/>
    <n v="5"/>
    <n v="5845"/>
    <n v="941.79"/>
  </r>
  <r>
    <x v="18"/>
    <x v="6"/>
    <x v="1"/>
    <x v="2"/>
    <n v="9"/>
    <n v="6138"/>
    <n v="851.14"/>
  </r>
  <r>
    <x v="510"/>
    <x v="3"/>
    <x v="2"/>
    <x v="3"/>
    <n v="2"/>
    <n v="1416"/>
    <n v="136.75"/>
  </r>
  <r>
    <x v="874"/>
    <x v="8"/>
    <x v="1"/>
    <x v="3"/>
    <n v="3"/>
    <n v="1851"/>
    <n v="348.9"/>
  </r>
  <r>
    <x v="771"/>
    <x v="0"/>
    <x v="0"/>
    <x v="2"/>
    <n v="9"/>
    <n v="7452"/>
    <n v="1259.82"/>
  </r>
  <r>
    <x v="639"/>
    <x v="2"/>
    <x v="2"/>
    <x v="0"/>
    <n v="5"/>
    <n v="1630"/>
    <n v="190.38"/>
  </r>
  <r>
    <x v="1031"/>
    <x v="3"/>
    <x v="2"/>
    <x v="3"/>
    <n v="6"/>
    <n v="4800"/>
    <n v="930.44"/>
  </r>
  <r>
    <x v="962"/>
    <x v="5"/>
    <x v="2"/>
    <x v="2"/>
    <n v="1"/>
    <n v="61"/>
    <n v="16.11"/>
  </r>
  <r>
    <x v="630"/>
    <x v="6"/>
    <x v="1"/>
    <x v="1"/>
    <n v="6"/>
    <n v="942"/>
    <n v="80.27"/>
  </r>
  <r>
    <x v="924"/>
    <x v="7"/>
    <x v="2"/>
    <x v="2"/>
    <n v="8"/>
    <n v="7640"/>
    <n v="1663.63"/>
  </r>
  <r>
    <x v="381"/>
    <x v="3"/>
    <x v="2"/>
    <x v="2"/>
    <n v="5"/>
    <n v="4540"/>
    <n v="939.71"/>
  </r>
  <r>
    <x v="1"/>
    <x v="4"/>
    <x v="1"/>
    <x v="0"/>
    <n v="1"/>
    <n v="1030"/>
    <n v="190.47"/>
  </r>
  <r>
    <x v="39"/>
    <x v="0"/>
    <x v="0"/>
    <x v="0"/>
    <n v="2"/>
    <n v="384"/>
    <n v="30.84"/>
  </r>
  <r>
    <x v="1016"/>
    <x v="5"/>
    <x v="2"/>
    <x v="3"/>
    <n v="8"/>
    <n v="8560"/>
    <n v="991.94"/>
  </r>
  <r>
    <x v="1032"/>
    <x v="3"/>
    <x v="2"/>
    <x v="3"/>
    <n v="9"/>
    <n v="1557"/>
    <n v="117.36"/>
  </r>
  <r>
    <x v="34"/>
    <x v="2"/>
    <x v="2"/>
    <x v="1"/>
    <n v="7"/>
    <n v="707"/>
    <n v="124.59"/>
  </r>
  <r>
    <x v="87"/>
    <x v="1"/>
    <x v="1"/>
    <x v="3"/>
    <n v="5"/>
    <n v="3405"/>
    <n v="476.39"/>
  </r>
  <r>
    <x v="131"/>
    <x v="2"/>
    <x v="2"/>
    <x v="3"/>
    <n v="6"/>
    <n v="4722"/>
    <n v="522.16"/>
  </r>
  <r>
    <x v="814"/>
    <x v="4"/>
    <x v="1"/>
    <x v="0"/>
    <n v="2"/>
    <n v="2150"/>
    <n v="625.92999999999995"/>
  </r>
  <r>
    <x v="254"/>
    <x v="6"/>
    <x v="1"/>
    <x v="3"/>
    <n v="7"/>
    <n v="3619"/>
    <n v="827.39"/>
  </r>
  <r>
    <x v="479"/>
    <x v="5"/>
    <x v="2"/>
    <x v="2"/>
    <n v="4"/>
    <n v="3892"/>
    <n v="909.22"/>
  </r>
  <r>
    <x v="382"/>
    <x v="3"/>
    <x v="2"/>
    <x v="2"/>
    <n v="1"/>
    <n v="54"/>
    <n v="13.29"/>
  </r>
  <r>
    <x v="10"/>
    <x v="8"/>
    <x v="1"/>
    <x v="2"/>
    <n v="1"/>
    <n v="612"/>
    <n v="136.25"/>
  </r>
  <r>
    <x v="52"/>
    <x v="6"/>
    <x v="1"/>
    <x v="1"/>
    <n v="5"/>
    <n v="3850"/>
    <n v="419.55"/>
  </r>
  <r>
    <x v="341"/>
    <x v="3"/>
    <x v="2"/>
    <x v="1"/>
    <n v="5"/>
    <n v="3005"/>
    <n v="389.93"/>
  </r>
  <r>
    <x v="903"/>
    <x v="4"/>
    <x v="1"/>
    <x v="0"/>
    <n v="9"/>
    <n v="5256"/>
    <n v="1296.6500000000001"/>
  </r>
  <r>
    <x v="420"/>
    <x v="0"/>
    <x v="0"/>
    <x v="1"/>
    <n v="6"/>
    <n v="3576"/>
    <n v="1033.3"/>
  </r>
  <r>
    <x v="1033"/>
    <x v="2"/>
    <x v="2"/>
    <x v="3"/>
    <n v="5"/>
    <n v="3415"/>
    <n v="496.48"/>
  </r>
  <r>
    <x v="616"/>
    <x v="3"/>
    <x v="2"/>
    <x v="3"/>
    <n v="3"/>
    <n v="1722"/>
    <n v="203.04"/>
  </r>
  <r>
    <x v="406"/>
    <x v="1"/>
    <x v="1"/>
    <x v="1"/>
    <n v="8"/>
    <n v="4088"/>
    <n v="853.36"/>
  </r>
  <r>
    <x v="703"/>
    <x v="4"/>
    <x v="1"/>
    <x v="3"/>
    <n v="5"/>
    <n v="5320"/>
    <n v="882.84"/>
  </r>
  <r>
    <x v="1"/>
    <x v="1"/>
    <x v="1"/>
    <x v="3"/>
    <n v="6"/>
    <n v="3660"/>
    <n v="1079"/>
  </r>
  <r>
    <x v="468"/>
    <x v="3"/>
    <x v="2"/>
    <x v="3"/>
    <n v="6"/>
    <n v="5250"/>
    <n v="1228.49"/>
  </r>
  <r>
    <x v="118"/>
    <x v="9"/>
    <x v="2"/>
    <x v="0"/>
    <n v="4"/>
    <n v="328"/>
    <n v="90.89"/>
  </r>
  <r>
    <x v="279"/>
    <x v="7"/>
    <x v="2"/>
    <x v="3"/>
    <n v="7"/>
    <n v="1596"/>
    <n v="359.71"/>
  </r>
  <r>
    <x v="17"/>
    <x v="0"/>
    <x v="0"/>
    <x v="2"/>
    <n v="7"/>
    <n v="2443"/>
    <n v="661.21"/>
  </r>
  <r>
    <x v="476"/>
    <x v="5"/>
    <x v="2"/>
    <x v="1"/>
    <n v="7"/>
    <n v="5432"/>
    <n v="870.08"/>
  </r>
  <r>
    <x v="1034"/>
    <x v="0"/>
    <x v="0"/>
    <x v="0"/>
    <n v="3"/>
    <n v="1254"/>
    <n v="221.19"/>
  </r>
  <r>
    <x v="273"/>
    <x v="2"/>
    <x v="2"/>
    <x v="1"/>
    <n v="5"/>
    <n v="5495"/>
    <n v="1276.27"/>
  </r>
  <r>
    <x v="863"/>
    <x v="4"/>
    <x v="1"/>
    <x v="0"/>
    <n v="4"/>
    <n v="596"/>
    <n v="72.650000000000006"/>
  </r>
  <r>
    <x v="941"/>
    <x v="0"/>
    <x v="0"/>
    <x v="2"/>
    <n v="6"/>
    <n v="3696"/>
    <n v="597.66"/>
  </r>
  <r>
    <x v="1035"/>
    <x v="1"/>
    <x v="1"/>
    <x v="0"/>
    <n v="6"/>
    <n v="4488"/>
    <n v="939.05"/>
  </r>
  <r>
    <x v="586"/>
    <x v="3"/>
    <x v="2"/>
    <x v="3"/>
    <n v="6"/>
    <n v="6846"/>
    <n v="932.21"/>
  </r>
  <r>
    <x v="379"/>
    <x v="1"/>
    <x v="1"/>
    <x v="3"/>
    <n v="8"/>
    <n v="2960"/>
    <n v="607.64"/>
  </r>
  <r>
    <x v="713"/>
    <x v="7"/>
    <x v="2"/>
    <x v="2"/>
    <n v="1"/>
    <n v="419"/>
    <n v="99.5"/>
  </r>
  <r>
    <x v="465"/>
    <x v="9"/>
    <x v="2"/>
    <x v="3"/>
    <n v="6"/>
    <n v="6246"/>
    <n v="327.14"/>
  </r>
  <r>
    <x v="854"/>
    <x v="2"/>
    <x v="2"/>
    <x v="2"/>
    <n v="4"/>
    <n v="1900"/>
    <n v="372.18"/>
  </r>
  <r>
    <x v="682"/>
    <x v="6"/>
    <x v="1"/>
    <x v="0"/>
    <n v="7"/>
    <n v="3451"/>
    <n v="397.29"/>
  </r>
  <r>
    <x v="1016"/>
    <x v="7"/>
    <x v="2"/>
    <x v="3"/>
    <n v="2"/>
    <n v="1612"/>
    <n v="344.37"/>
  </r>
  <r>
    <x v="581"/>
    <x v="9"/>
    <x v="2"/>
    <x v="2"/>
    <n v="5"/>
    <n v="4445"/>
    <n v="642.83000000000004"/>
  </r>
  <r>
    <x v="933"/>
    <x v="5"/>
    <x v="2"/>
    <x v="0"/>
    <n v="5"/>
    <n v="720"/>
    <n v="63.84"/>
  </r>
  <r>
    <x v="397"/>
    <x v="1"/>
    <x v="1"/>
    <x v="1"/>
    <n v="2"/>
    <n v="1428"/>
    <n v="234.49"/>
  </r>
  <r>
    <x v="874"/>
    <x v="2"/>
    <x v="2"/>
    <x v="1"/>
    <n v="4"/>
    <n v="3532"/>
    <n v="665.2"/>
  </r>
  <r>
    <x v="303"/>
    <x v="3"/>
    <x v="2"/>
    <x v="0"/>
    <n v="6"/>
    <n v="6528"/>
    <n v="549.62"/>
  </r>
  <r>
    <x v="339"/>
    <x v="6"/>
    <x v="1"/>
    <x v="1"/>
    <n v="1"/>
    <n v="743"/>
    <n v="216.5"/>
  </r>
  <r>
    <x v="533"/>
    <x v="5"/>
    <x v="2"/>
    <x v="1"/>
    <n v="6"/>
    <n v="1758"/>
    <n v="287.36"/>
  </r>
  <r>
    <x v="639"/>
    <x v="4"/>
    <x v="1"/>
    <x v="2"/>
    <n v="8"/>
    <n v="1008"/>
    <n v="100.61"/>
  </r>
  <r>
    <x v="257"/>
    <x v="7"/>
    <x v="2"/>
    <x v="1"/>
    <n v="1"/>
    <n v="995"/>
    <n v="149.86000000000001"/>
  </r>
  <r>
    <x v="220"/>
    <x v="8"/>
    <x v="1"/>
    <x v="3"/>
    <n v="9"/>
    <n v="4032"/>
    <n v="876.91"/>
  </r>
  <r>
    <x v="952"/>
    <x v="7"/>
    <x v="2"/>
    <x v="1"/>
    <n v="6"/>
    <n v="480"/>
    <n v="131.08000000000001"/>
  </r>
  <r>
    <x v="876"/>
    <x v="9"/>
    <x v="2"/>
    <x v="1"/>
    <n v="1"/>
    <n v="989"/>
    <n v="149.99"/>
  </r>
  <r>
    <x v="823"/>
    <x v="7"/>
    <x v="2"/>
    <x v="0"/>
    <n v="9"/>
    <n v="6606"/>
    <n v="759.55"/>
  </r>
  <r>
    <x v="895"/>
    <x v="5"/>
    <x v="2"/>
    <x v="1"/>
    <n v="6"/>
    <n v="912"/>
    <n v="256.58"/>
  </r>
  <r>
    <x v="155"/>
    <x v="1"/>
    <x v="1"/>
    <x v="2"/>
    <n v="4"/>
    <n v="2912"/>
    <n v="331.11"/>
  </r>
  <r>
    <x v="268"/>
    <x v="3"/>
    <x v="2"/>
    <x v="3"/>
    <n v="5"/>
    <n v="845"/>
    <n v="69.349999999999994"/>
  </r>
  <r>
    <x v="966"/>
    <x v="6"/>
    <x v="1"/>
    <x v="2"/>
    <n v="4"/>
    <n v="2804"/>
    <n v="382.82"/>
  </r>
  <r>
    <x v="66"/>
    <x v="9"/>
    <x v="2"/>
    <x v="1"/>
    <n v="2"/>
    <n v="208"/>
    <n v="11.53"/>
  </r>
  <r>
    <x v="511"/>
    <x v="5"/>
    <x v="2"/>
    <x v="1"/>
    <n v="1"/>
    <n v="379"/>
    <n v="42.24"/>
  </r>
  <r>
    <x v="463"/>
    <x v="1"/>
    <x v="1"/>
    <x v="3"/>
    <n v="3"/>
    <n v="1227"/>
    <n v="113.38"/>
  </r>
  <r>
    <x v="871"/>
    <x v="4"/>
    <x v="1"/>
    <x v="1"/>
    <n v="7"/>
    <n v="5551"/>
    <n v="392.37"/>
  </r>
  <r>
    <x v="67"/>
    <x v="4"/>
    <x v="1"/>
    <x v="3"/>
    <n v="1"/>
    <n v="423"/>
    <n v="115.44"/>
  </r>
  <r>
    <x v="833"/>
    <x v="4"/>
    <x v="1"/>
    <x v="3"/>
    <n v="6"/>
    <n v="5982"/>
    <n v="944.81"/>
  </r>
  <r>
    <x v="847"/>
    <x v="7"/>
    <x v="2"/>
    <x v="3"/>
    <n v="4"/>
    <n v="3732"/>
    <n v="468.6"/>
  </r>
  <r>
    <x v="885"/>
    <x v="0"/>
    <x v="0"/>
    <x v="0"/>
    <n v="9"/>
    <n v="5904"/>
    <n v="1152.23"/>
  </r>
  <r>
    <x v="69"/>
    <x v="4"/>
    <x v="1"/>
    <x v="1"/>
    <n v="5"/>
    <n v="1810"/>
    <n v="171.47"/>
  </r>
  <r>
    <x v="894"/>
    <x v="7"/>
    <x v="2"/>
    <x v="2"/>
    <n v="6"/>
    <n v="5604"/>
    <n v="615.07000000000005"/>
  </r>
  <r>
    <x v="503"/>
    <x v="9"/>
    <x v="2"/>
    <x v="3"/>
    <n v="2"/>
    <n v="432"/>
    <n v="81.31"/>
  </r>
  <r>
    <x v="492"/>
    <x v="8"/>
    <x v="1"/>
    <x v="1"/>
    <n v="2"/>
    <n v="416"/>
    <n v="68.58"/>
  </r>
  <r>
    <x v="566"/>
    <x v="6"/>
    <x v="1"/>
    <x v="0"/>
    <n v="8"/>
    <n v="1224"/>
    <n v="281.43"/>
  </r>
  <r>
    <x v="655"/>
    <x v="0"/>
    <x v="0"/>
    <x v="3"/>
    <n v="8"/>
    <n v="5168"/>
    <n v="672.6"/>
  </r>
  <r>
    <x v="771"/>
    <x v="6"/>
    <x v="1"/>
    <x v="1"/>
    <n v="6"/>
    <n v="6522"/>
    <n v="502.98"/>
  </r>
  <r>
    <x v="52"/>
    <x v="8"/>
    <x v="1"/>
    <x v="2"/>
    <n v="5"/>
    <n v="1090"/>
    <n v="140.69999999999999"/>
  </r>
  <r>
    <x v="58"/>
    <x v="9"/>
    <x v="2"/>
    <x v="2"/>
    <n v="3"/>
    <n v="1737"/>
    <n v="353.17"/>
  </r>
  <r>
    <x v="729"/>
    <x v="0"/>
    <x v="0"/>
    <x v="3"/>
    <n v="9"/>
    <n v="7281"/>
    <n v="1358.17"/>
  </r>
  <r>
    <x v="740"/>
    <x v="5"/>
    <x v="2"/>
    <x v="2"/>
    <n v="9"/>
    <n v="5832"/>
    <n v="1007.54"/>
  </r>
  <r>
    <x v="1036"/>
    <x v="0"/>
    <x v="0"/>
    <x v="1"/>
    <n v="9"/>
    <n v="7020"/>
    <n v="623.97"/>
  </r>
  <r>
    <x v="606"/>
    <x v="1"/>
    <x v="1"/>
    <x v="2"/>
    <n v="3"/>
    <n v="2001"/>
    <n v="420.08"/>
  </r>
  <r>
    <x v="884"/>
    <x v="6"/>
    <x v="1"/>
    <x v="3"/>
    <n v="2"/>
    <n v="1832"/>
    <n v="489.21"/>
  </r>
  <r>
    <x v="387"/>
    <x v="5"/>
    <x v="2"/>
    <x v="1"/>
    <n v="6"/>
    <n v="3372"/>
    <n v="934.42"/>
  </r>
  <r>
    <x v="888"/>
    <x v="2"/>
    <x v="2"/>
    <x v="3"/>
    <n v="6"/>
    <n v="3384"/>
    <n v="503.86"/>
  </r>
  <r>
    <x v="1037"/>
    <x v="6"/>
    <x v="1"/>
    <x v="1"/>
    <n v="1"/>
    <n v="351"/>
    <n v="31.95"/>
  </r>
  <r>
    <x v="877"/>
    <x v="3"/>
    <x v="2"/>
    <x v="2"/>
    <n v="2"/>
    <n v="2092"/>
    <n v="549.41999999999996"/>
  </r>
  <r>
    <x v="569"/>
    <x v="6"/>
    <x v="1"/>
    <x v="2"/>
    <n v="7"/>
    <n v="1309"/>
    <n v="138.46"/>
  </r>
  <r>
    <x v="74"/>
    <x v="8"/>
    <x v="1"/>
    <x v="0"/>
    <n v="9"/>
    <n v="6696"/>
    <n v="407.36"/>
  </r>
  <r>
    <x v="464"/>
    <x v="8"/>
    <x v="1"/>
    <x v="1"/>
    <n v="5"/>
    <n v="1020"/>
    <n v="162.36000000000001"/>
  </r>
  <r>
    <x v="56"/>
    <x v="8"/>
    <x v="1"/>
    <x v="1"/>
    <n v="8"/>
    <n v="8240"/>
    <n v="2006.72"/>
  </r>
  <r>
    <x v="1038"/>
    <x v="4"/>
    <x v="1"/>
    <x v="2"/>
    <n v="9"/>
    <n v="9810"/>
    <n v="1008.6"/>
  </r>
  <r>
    <x v="616"/>
    <x v="2"/>
    <x v="2"/>
    <x v="3"/>
    <n v="1"/>
    <n v="853"/>
    <n v="97.5"/>
  </r>
  <r>
    <x v="519"/>
    <x v="3"/>
    <x v="2"/>
    <x v="1"/>
    <n v="4"/>
    <n v="4416"/>
    <n v="1081.53"/>
  </r>
  <r>
    <x v="351"/>
    <x v="4"/>
    <x v="1"/>
    <x v="0"/>
    <n v="8"/>
    <n v="3832"/>
    <n v="741.44"/>
  </r>
  <r>
    <x v="877"/>
    <x v="6"/>
    <x v="1"/>
    <x v="2"/>
    <n v="4"/>
    <n v="1876"/>
    <n v="221.18"/>
  </r>
  <r>
    <x v="685"/>
    <x v="9"/>
    <x v="2"/>
    <x v="2"/>
    <n v="3"/>
    <n v="2634"/>
    <n v="392.21"/>
  </r>
  <r>
    <x v="1039"/>
    <x v="9"/>
    <x v="2"/>
    <x v="0"/>
    <n v="1"/>
    <n v="1027"/>
    <n v="259.92"/>
  </r>
  <r>
    <x v="749"/>
    <x v="0"/>
    <x v="0"/>
    <x v="3"/>
    <n v="5"/>
    <n v="3100"/>
    <n v="911.86"/>
  </r>
  <r>
    <x v="1014"/>
    <x v="1"/>
    <x v="1"/>
    <x v="3"/>
    <n v="1"/>
    <n v="104"/>
    <n v="29.67"/>
  </r>
  <r>
    <x v="113"/>
    <x v="1"/>
    <x v="1"/>
    <x v="1"/>
    <n v="2"/>
    <n v="1590"/>
    <n v="147.19999999999999"/>
  </r>
  <r>
    <x v="671"/>
    <x v="3"/>
    <x v="2"/>
    <x v="2"/>
    <n v="4"/>
    <n v="1104"/>
    <n v="63.57"/>
  </r>
  <r>
    <x v="314"/>
    <x v="7"/>
    <x v="2"/>
    <x v="2"/>
    <n v="3"/>
    <n v="1851"/>
    <n v="198.71"/>
  </r>
  <r>
    <x v="177"/>
    <x v="7"/>
    <x v="2"/>
    <x v="2"/>
    <n v="2"/>
    <n v="1408"/>
    <n v="193.09"/>
  </r>
  <r>
    <x v="82"/>
    <x v="9"/>
    <x v="2"/>
    <x v="2"/>
    <n v="7"/>
    <n v="4641"/>
    <n v="1341.98"/>
  </r>
  <r>
    <x v="430"/>
    <x v="2"/>
    <x v="2"/>
    <x v="3"/>
    <n v="7"/>
    <n v="2611"/>
    <n v="539.37"/>
  </r>
  <r>
    <x v="64"/>
    <x v="9"/>
    <x v="2"/>
    <x v="0"/>
    <n v="4"/>
    <n v="3824"/>
    <n v="711.92"/>
  </r>
  <r>
    <x v="971"/>
    <x v="7"/>
    <x v="2"/>
    <x v="1"/>
    <n v="2"/>
    <n v="2042"/>
    <n v="501.34"/>
  </r>
  <r>
    <x v="924"/>
    <x v="2"/>
    <x v="2"/>
    <x v="0"/>
    <n v="6"/>
    <n v="6378"/>
    <n v="1408.28"/>
  </r>
  <r>
    <x v="107"/>
    <x v="3"/>
    <x v="2"/>
    <x v="1"/>
    <n v="4"/>
    <n v="4692"/>
    <n v="409.07"/>
  </r>
  <r>
    <x v="561"/>
    <x v="9"/>
    <x v="2"/>
    <x v="3"/>
    <n v="6"/>
    <n v="6234"/>
    <n v="1829.07"/>
  </r>
  <r>
    <x v="407"/>
    <x v="7"/>
    <x v="2"/>
    <x v="3"/>
    <n v="4"/>
    <n v="1852"/>
    <n v="535.07000000000005"/>
  </r>
  <r>
    <x v="272"/>
    <x v="6"/>
    <x v="1"/>
    <x v="2"/>
    <n v="3"/>
    <n v="3075"/>
    <n v="804.06"/>
  </r>
  <r>
    <x v="126"/>
    <x v="0"/>
    <x v="0"/>
    <x v="0"/>
    <n v="5"/>
    <n v="370"/>
    <n v="92.45"/>
  </r>
  <r>
    <x v="731"/>
    <x v="8"/>
    <x v="1"/>
    <x v="0"/>
    <n v="6"/>
    <n v="624"/>
    <n v="66.989999999999995"/>
  </r>
  <r>
    <x v="442"/>
    <x v="5"/>
    <x v="2"/>
    <x v="2"/>
    <n v="2"/>
    <n v="1734"/>
    <n v="310.76"/>
  </r>
  <r>
    <x v="345"/>
    <x v="0"/>
    <x v="0"/>
    <x v="3"/>
    <n v="9"/>
    <n v="2268"/>
    <n v="361.62"/>
  </r>
  <r>
    <x v="1040"/>
    <x v="3"/>
    <x v="2"/>
    <x v="1"/>
    <n v="5"/>
    <n v="3670"/>
    <n v="924.95"/>
  </r>
  <r>
    <x v="797"/>
    <x v="5"/>
    <x v="2"/>
    <x v="0"/>
    <n v="7"/>
    <n v="4634"/>
    <n v="1358.44"/>
  </r>
  <r>
    <x v="44"/>
    <x v="4"/>
    <x v="1"/>
    <x v="0"/>
    <n v="9"/>
    <n v="1440"/>
    <n v="94.41"/>
  </r>
  <r>
    <x v="832"/>
    <x v="9"/>
    <x v="2"/>
    <x v="3"/>
    <n v="6"/>
    <n v="5136"/>
    <n v="1225.4000000000001"/>
  </r>
  <r>
    <x v="775"/>
    <x v="7"/>
    <x v="2"/>
    <x v="1"/>
    <n v="1"/>
    <n v="166"/>
    <n v="31.72"/>
  </r>
  <r>
    <x v="106"/>
    <x v="8"/>
    <x v="1"/>
    <x v="1"/>
    <n v="3"/>
    <n v="1422"/>
    <n v="328.98"/>
  </r>
  <r>
    <x v="513"/>
    <x v="4"/>
    <x v="1"/>
    <x v="1"/>
    <n v="8"/>
    <n v="1832"/>
    <n v="532.97"/>
  </r>
  <r>
    <x v="952"/>
    <x v="0"/>
    <x v="0"/>
    <x v="2"/>
    <n v="1"/>
    <n v="668"/>
    <n v="94.08"/>
  </r>
  <r>
    <x v="302"/>
    <x v="3"/>
    <x v="2"/>
    <x v="3"/>
    <n v="6"/>
    <n v="1272"/>
    <n v="336.3"/>
  </r>
  <r>
    <x v="334"/>
    <x v="8"/>
    <x v="1"/>
    <x v="0"/>
    <n v="8"/>
    <n v="984"/>
    <n v="72.540000000000006"/>
  </r>
  <r>
    <x v="619"/>
    <x v="0"/>
    <x v="0"/>
    <x v="2"/>
    <n v="7"/>
    <n v="7896"/>
    <n v="484.76"/>
  </r>
  <r>
    <x v="900"/>
    <x v="7"/>
    <x v="2"/>
    <x v="0"/>
    <n v="1"/>
    <n v="636"/>
    <n v="42.4"/>
  </r>
  <r>
    <x v="613"/>
    <x v="9"/>
    <x v="2"/>
    <x v="0"/>
    <n v="3"/>
    <n v="2031"/>
    <n v="450.23"/>
  </r>
  <r>
    <x v="484"/>
    <x v="1"/>
    <x v="1"/>
    <x v="3"/>
    <n v="9"/>
    <n v="3186"/>
    <n v="483.22"/>
  </r>
  <r>
    <x v="114"/>
    <x v="4"/>
    <x v="1"/>
    <x v="2"/>
    <n v="1"/>
    <n v="134"/>
    <n v="33.119999999999997"/>
  </r>
  <r>
    <x v="448"/>
    <x v="2"/>
    <x v="2"/>
    <x v="2"/>
    <n v="5"/>
    <n v="1765"/>
    <n v="347.42"/>
  </r>
  <r>
    <x v="846"/>
    <x v="8"/>
    <x v="1"/>
    <x v="1"/>
    <n v="4"/>
    <n v="3628"/>
    <n v="717.81"/>
  </r>
  <r>
    <x v="486"/>
    <x v="6"/>
    <x v="1"/>
    <x v="3"/>
    <n v="4"/>
    <n v="1000"/>
    <n v="198.92"/>
  </r>
  <r>
    <x v="971"/>
    <x v="3"/>
    <x v="2"/>
    <x v="0"/>
    <n v="2"/>
    <n v="2134"/>
    <n v="119.89"/>
  </r>
  <r>
    <x v="40"/>
    <x v="5"/>
    <x v="2"/>
    <x v="0"/>
    <n v="7"/>
    <n v="6706"/>
    <n v="1687.22"/>
  </r>
  <r>
    <x v="327"/>
    <x v="9"/>
    <x v="2"/>
    <x v="1"/>
    <n v="3"/>
    <n v="321"/>
    <n v="72.13"/>
  </r>
  <r>
    <x v="817"/>
    <x v="3"/>
    <x v="2"/>
    <x v="2"/>
    <n v="3"/>
    <n v="3126"/>
    <n v="710.14"/>
  </r>
  <r>
    <x v="572"/>
    <x v="6"/>
    <x v="1"/>
    <x v="2"/>
    <n v="7"/>
    <n v="5446"/>
    <n v="697.21"/>
  </r>
  <r>
    <x v="772"/>
    <x v="2"/>
    <x v="2"/>
    <x v="1"/>
    <n v="1"/>
    <n v="1131"/>
    <n v="140.55000000000001"/>
  </r>
  <r>
    <x v="684"/>
    <x v="0"/>
    <x v="0"/>
    <x v="1"/>
    <n v="2"/>
    <n v="1946"/>
    <n v="141.75"/>
  </r>
  <r>
    <x v="991"/>
    <x v="9"/>
    <x v="2"/>
    <x v="0"/>
    <n v="7"/>
    <n v="6818"/>
    <n v="1348.26"/>
  </r>
  <r>
    <x v="46"/>
    <x v="7"/>
    <x v="2"/>
    <x v="1"/>
    <n v="7"/>
    <n v="2317"/>
    <n v="677.61"/>
  </r>
  <r>
    <x v="760"/>
    <x v="5"/>
    <x v="2"/>
    <x v="1"/>
    <n v="6"/>
    <n v="396"/>
    <n v="89.51"/>
  </r>
  <r>
    <x v="974"/>
    <x v="7"/>
    <x v="2"/>
    <x v="2"/>
    <n v="1"/>
    <n v="558"/>
    <n v="49.81"/>
  </r>
  <r>
    <x v="88"/>
    <x v="7"/>
    <x v="2"/>
    <x v="1"/>
    <n v="9"/>
    <n v="2034"/>
    <n v="593.13"/>
  </r>
  <r>
    <x v="1041"/>
    <x v="1"/>
    <x v="1"/>
    <x v="3"/>
    <n v="8"/>
    <n v="6080"/>
    <n v="1171.93"/>
  </r>
  <r>
    <x v="968"/>
    <x v="5"/>
    <x v="2"/>
    <x v="1"/>
    <n v="2"/>
    <n v="1378"/>
    <n v="183.1"/>
  </r>
  <r>
    <x v="117"/>
    <x v="6"/>
    <x v="1"/>
    <x v="1"/>
    <n v="3"/>
    <n v="483"/>
    <n v="120.11"/>
  </r>
  <r>
    <x v="834"/>
    <x v="8"/>
    <x v="1"/>
    <x v="2"/>
    <n v="8"/>
    <n v="7864"/>
    <n v="1615.58"/>
  </r>
  <r>
    <x v="45"/>
    <x v="0"/>
    <x v="0"/>
    <x v="0"/>
    <n v="2"/>
    <n v="1268"/>
    <n v="141.76"/>
  </r>
  <r>
    <x v="789"/>
    <x v="0"/>
    <x v="0"/>
    <x v="3"/>
    <n v="6"/>
    <n v="3774"/>
    <n v="606.94000000000005"/>
  </r>
  <r>
    <x v="991"/>
    <x v="5"/>
    <x v="2"/>
    <x v="1"/>
    <n v="9"/>
    <n v="9090"/>
    <n v="727.64"/>
  </r>
  <r>
    <x v="433"/>
    <x v="3"/>
    <x v="2"/>
    <x v="0"/>
    <n v="5"/>
    <n v="3720"/>
    <n v="1077.21"/>
  </r>
  <r>
    <x v="1042"/>
    <x v="7"/>
    <x v="2"/>
    <x v="1"/>
    <n v="8"/>
    <n v="8896"/>
    <n v="1825.26"/>
  </r>
  <r>
    <x v="244"/>
    <x v="1"/>
    <x v="1"/>
    <x v="2"/>
    <n v="4"/>
    <n v="3264"/>
    <n v="639.79999999999995"/>
  </r>
  <r>
    <x v="956"/>
    <x v="0"/>
    <x v="0"/>
    <x v="3"/>
    <n v="2"/>
    <n v="146"/>
    <n v="15.48"/>
  </r>
  <r>
    <x v="603"/>
    <x v="4"/>
    <x v="1"/>
    <x v="1"/>
    <n v="3"/>
    <n v="1683"/>
    <n v="129.63999999999999"/>
  </r>
  <r>
    <x v="135"/>
    <x v="3"/>
    <x v="2"/>
    <x v="3"/>
    <n v="7"/>
    <n v="6076"/>
    <n v="788.14"/>
  </r>
  <r>
    <x v="431"/>
    <x v="5"/>
    <x v="2"/>
    <x v="3"/>
    <n v="2"/>
    <n v="2388"/>
    <n v="492.54"/>
  </r>
  <r>
    <x v="398"/>
    <x v="7"/>
    <x v="2"/>
    <x v="1"/>
    <n v="6"/>
    <n v="882"/>
    <n v="180.63"/>
  </r>
  <r>
    <x v="918"/>
    <x v="9"/>
    <x v="2"/>
    <x v="3"/>
    <n v="3"/>
    <n v="3561"/>
    <n v="206.87"/>
  </r>
  <r>
    <x v="836"/>
    <x v="2"/>
    <x v="2"/>
    <x v="1"/>
    <n v="7"/>
    <n v="3395"/>
    <n v="350.26"/>
  </r>
  <r>
    <x v="429"/>
    <x v="7"/>
    <x v="2"/>
    <x v="2"/>
    <n v="6"/>
    <n v="3366"/>
    <n v="460.75"/>
  </r>
  <r>
    <x v="860"/>
    <x v="1"/>
    <x v="1"/>
    <x v="1"/>
    <n v="2"/>
    <n v="630"/>
    <n v="144.13999999999999"/>
  </r>
  <r>
    <x v="63"/>
    <x v="3"/>
    <x v="2"/>
    <x v="2"/>
    <n v="1"/>
    <n v="440"/>
    <n v="34.74"/>
  </r>
  <r>
    <x v="807"/>
    <x v="5"/>
    <x v="2"/>
    <x v="1"/>
    <n v="6"/>
    <n v="6462"/>
    <n v="1466.15"/>
  </r>
  <r>
    <x v="343"/>
    <x v="6"/>
    <x v="1"/>
    <x v="2"/>
    <n v="6"/>
    <n v="5004"/>
    <n v="1197.3599999999999"/>
  </r>
  <r>
    <x v="93"/>
    <x v="9"/>
    <x v="2"/>
    <x v="2"/>
    <n v="8"/>
    <n v="1840"/>
    <n v="461.21"/>
  </r>
  <r>
    <x v="785"/>
    <x v="2"/>
    <x v="2"/>
    <x v="2"/>
    <n v="7"/>
    <n v="4466"/>
    <n v="763.14"/>
  </r>
  <r>
    <x v="289"/>
    <x v="2"/>
    <x v="2"/>
    <x v="2"/>
    <n v="6"/>
    <n v="3048"/>
    <n v="823.36"/>
  </r>
  <r>
    <x v="202"/>
    <x v="1"/>
    <x v="1"/>
    <x v="2"/>
    <n v="7"/>
    <n v="4977"/>
    <n v="516.70000000000005"/>
  </r>
  <r>
    <x v="595"/>
    <x v="8"/>
    <x v="1"/>
    <x v="2"/>
    <n v="3"/>
    <n v="2010"/>
    <n v="387.31"/>
  </r>
  <r>
    <x v="1043"/>
    <x v="3"/>
    <x v="2"/>
    <x v="2"/>
    <n v="8"/>
    <n v="5352"/>
    <n v="1133.57"/>
  </r>
  <r>
    <x v="737"/>
    <x v="3"/>
    <x v="2"/>
    <x v="0"/>
    <n v="4"/>
    <n v="4136"/>
    <n v="294.20999999999998"/>
  </r>
  <r>
    <x v="881"/>
    <x v="3"/>
    <x v="2"/>
    <x v="3"/>
    <n v="8"/>
    <n v="6336"/>
    <n v="439.42"/>
  </r>
  <r>
    <x v="687"/>
    <x v="9"/>
    <x v="2"/>
    <x v="1"/>
    <n v="9"/>
    <n v="5481"/>
    <n v="1540.75"/>
  </r>
  <r>
    <x v="478"/>
    <x v="3"/>
    <x v="2"/>
    <x v="3"/>
    <n v="6"/>
    <n v="6366"/>
    <n v="318.97000000000003"/>
  </r>
  <r>
    <x v="39"/>
    <x v="0"/>
    <x v="0"/>
    <x v="3"/>
    <n v="1"/>
    <n v="623"/>
    <n v="81.239999999999995"/>
  </r>
  <r>
    <x v="888"/>
    <x v="1"/>
    <x v="1"/>
    <x v="2"/>
    <n v="3"/>
    <n v="237"/>
    <n v="49.94"/>
  </r>
  <r>
    <x v="1014"/>
    <x v="8"/>
    <x v="1"/>
    <x v="0"/>
    <n v="9"/>
    <n v="8370"/>
    <n v="1525.8"/>
  </r>
  <r>
    <x v="832"/>
    <x v="4"/>
    <x v="1"/>
    <x v="2"/>
    <n v="5"/>
    <n v="4965"/>
    <n v="774.74"/>
  </r>
  <r>
    <x v="218"/>
    <x v="3"/>
    <x v="2"/>
    <x v="2"/>
    <n v="7"/>
    <n v="7791"/>
    <n v="1844.69"/>
  </r>
  <r>
    <x v="158"/>
    <x v="7"/>
    <x v="2"/>
    <x v="3"/>
    <n v="1"/>
    <n v="158"/>
    <n v="32.89"/>
  </r>
  <r>
    <x v="604"/>
    <x v="8"/>
    <x v="1"/>
    <x v="3"/>
    <n v="7"/>
    <n v="4347"/>
    <n v="712.79"/>
  </r>
  <r>
    <x v="922"/>
    <x v="7"/>
    <x v="2"/>
    <x v="1"/>
    <n v="4"/>
    <n v="3364"/>
    <n v="527.28"/>
  </r>
  <r>
    <x v="587"/>
    <x v="3"/>
    <x v="2"/>
    <x v="2"/>
    <n v="3"/>
    <n v="1098"/>
    <n v="77.81"/>
  </r>
  <r>
    <x v="92"/>
    <x v="4"/>
    <x v="1"/>
    <x v="3"/>
    <n v="3"/>
    <n v="1083"/>
    <n v="257.44"/>
  </r>
  <r>
    <x v="693"/>
    <x v="9"/>
    <x v="2"/>
    <x v="1"/>
    <n v="4"/>
    <n v="1628"/>
    <n v="314.95999999999998"/>
  </r>
  <r>
    <x v="422"/>
    <x v="8"/>
    <x v="1"/>
    <x v="2"/>
    <n v="4"/>
    <n v="1472"/>
    <n v="387.27"/>
  </r>
  <r>
    <x v="49"/>
    <x v="0"/>
    <x v="0"/>
    <x v="3"/>
    <n v="9"/>
    <n v="3753"/>
    <n v="1114.8699999999999"/>
  </r>
  <r>
    <x v="237"/>
    <x v="6"/>
    <x v="1"/>
    <x v="2"/>
    <n v="6"/>
    <n v="6402"/>
    <n v="1602.79"/>
  </r>
  <r>
    <x v="57"/>
    <x v="6"/>
    <x v="1"/>
    <x v="3"/>
    <n v="3"/>
    <n v="2565"/>
    <n v="510.73"/>
  </r>
  <r>
    <x v="941"/>
    <x v="1"/>
    <x v="1"/>
    <x v="2"/>
    <n v="3"/>
    <n v="2214"/>
    <n v="127.34"/>
  </r>
  <r>
    <x v="821"/>
    <x v="6"/>
    <x v="1"/>
    <x v="3"/>
    <n v="3"/>
    <n v="975"/>
    <n v="291.81"/>
  </r>
  <r>
    <x v="662"/>
    <x v="0"/>
    <x v="0"/>
    <x v="1"/>
    <n v="8"/>
    <n v="3312"/>
    <n v="854.12"/>
  </r>
  <r>
    <x v="305"/>
    <x v="0"/>
    <x v="0"/>
    <x v="1"/>
    <n v="1"/>
    <n v="267"/>
    <n v="41.85"/>
  </r>
  <r>
    <x v="721"/>
    <x v="7"/>
    <x v="2"/>
    <x v="1"/>
    <n v="9"/>
    <n v="8145"/>
    <n v="2384.42"/>
  </r>
  <r>
    <x v="1044"/>
    <x v="0"/>
    <x v="0"/>
    <x v="0"/>
    <n v="1"/>
    <n v="232"/>
    <n v="34.26"/>
  </r>
  <r>
    <x v="258"/>
    <x v="7"/>
    <x v="2"/>
    <x v="0"/>
    <n v="3"/>
    <n v="300"/>
    <n v="38.44"/>
  </r>
  <r>
    <x v="1045"/>
    <x v="6"/>
    <x v="1"/>
    <x v="1"/>
    <n v="2"/>
    <n v="2248"/>
    <n v="473.21"/>
  </r>
  <r>
    <x v="14"/>
    <x v="6"/>
    <x v="1"/>
    <x v="0"/>
    <n v="6"/>
    <n v="1614"/>
    <n v="166.62"/>
  </r>
  <r>
    <x v="806"/>
    <x v="6"/>
    <x v="1"/>
    <x v="3"/>
    <n v="2"/>
    <n v="1476"/>
    <n v="195.74"/>
  </r>
  <r>
    <x v="1046"/>
    <x v="0"/>
    <x v="0"/>
    <x v="2"/>
    <n v="5"/>
    <n v="4375"/>
    <n v="347.43"/>
  </r>
  <r>
    <x v="465"/>
    <x v="5"/>
    <x v="2"/>
    <x v="0"/>
    <n v="4"/>
    <n v="1064"/>
    <n v="263.48"/>
  </r>
  <r>
    <x v="394"/>
    <x v="4"/>
    <x v="1"/>
    <x v="0"/>
    <n v="6"/>
    <n v="1068"/>
    <n v="190.77"/>
  </r>
  <r>
    <x v="232"/>
    <x v="8"/>
    <x v="1"/>
    <x v="1"/>
    <n v="1"/>
    <n v="190"/>
    <n v="27.43"/>
  </r>
  <r>
    <x v="777"/>
    <x v="0"/>
    <x v="0"/>
    <x v="2"/>
    <n v="7"/>
    <n v="7868"/>
    <n v="862.38"/>
  </r>
  <r>
    <x v="353"/>
    <x v="8"/>
    <x v="1"/>
    <x v="0"/>
    <n v="3"/>
    <n v="1239"/>
    <n v="143.35"/>
  </r>
  <r>
    <x v="593"/>
    <x v="6"/>
    <x v="1"/>
    <x v="1"/>
    <n v="2"/>
    <n v="1394"/>
    <n v="408.32"/>
  </r>
  <r>
    <x v="725"/>
    <x v="7"/>
    <x v="2"/>
    <x v="0"/>
    <n v="5"/>
    <n v="2060"/>
    <n v="403.19"/>
  </r>
  <r>
    <x v="636"/>
    <x v="9"/>
    <x v="2"/>
    <x v="1"/>
    <n v="1"/>
    <n v="1060"/>
    <n v="57.26"/>
  </r>
  <r>
    <x v="1047"/>
    <x v="6"/>
    <x v="1"/>
    <x v="0"/>
    <n v="7"/>
    <n v="7812"/>
    <n v="1478.43"/>
  </r>
  <r>
    <x v="373"/>
    <x v="3"/>
    <x v="2"/>
    <x v="0"/>
    <n v="7"/>
    <n v="7077"/>
    <n v="804.15"/>
  </r>
  <r>
    <x v="174"/>
    <x v="7"/>
    <x v="2"/>
    <x v="3"/>
    <n v="7"/>
    <n v="5712"/>
    <n v="929.42"/>
  </r>
  <r>
    <x v="357"/>
    <x v="0"/>
    <x v="0"/>
    <x v="0"/>
    <n v="6"/>
    <n v="4146"/>
    <n v="966.79"/>
  </r>
  <r>
    <x v="113"/>
    <x v="2"/>
    <x v="2"/>
    <x v="3"/>
    <n v="2"/>
    <n v="992"/>
    <n v="238.18"/>
  </r>
  <r>
    <x v="110"/>
    <x v="5"/>
    <x v="2"/>
    <x v="0"/>
    <n v="2"/>
    <n v="1756"/>
    <n v="165.6"/>
  </r>
  <r>
    <x v="32"/>
    <x v="6"/>
    <x v="1"/>
    <x v="3"/>
    <n v="4"/>
    <n v="3632"/>
    <n v="566.80999999999995"/>
  </r>
  <r>
    <x v="515"/>
    <x v="4"/>
    <x v="1"/>
    <x v="1"/>
    <n v="4"/>
    <n v="3912"/>
    <n v="550.09"/>
  </r>
  <r>
    <x v="130"/>
    <x v="0"/>
    <x v="0"/>
    <x v="0"/>
    <n v="9"/>
    <n v="3123"/>
    <n v="741.23"/>
  </r>
  <r>
    <x v="1048"/>
    <x v="0"/>
    <x v="0"/>
    <x v="3"/>
    <n v="4"/>
    <n v="700"/>
    <n v="120.19"/>
  </r>
  <r>
    <x v="592"/>
    <x v="2"/>
    <x v="2"/>
    <x v="2"/>
    <n v="8"/>
    <n v="408"/>
    <n v="83.16"/>
  </r>
  <r>
    <x v="675"/>
    <x v="7"/>
    <x v="2"/>
    <x v="2"/>
    <n v="4"/>
    <n v="4056"/>
    <n v="768.81"/>
  </r>
  <r>
    <x v="517"/>
    <x v="9"/>
    <x v="2"/>
    <x v="3"/>
    <n v="1"/>
    <n v="770"/>
    <n v="121.75"/>
  </r>
  <r>
    <x v="736"/>
    <x v="5"/>
    <x v="2"/>
    <x v="0"/>
    <n v="3"/>
    <n v="531"/>
    <n v="73.349999999999994"/>
  </r>
  <r>
    <x v="937"/>
    <x v="6"/>
    <x v="1"/>
    <x v="2"/>
    <n v="5"/>
    <n v="280"/>
    <n v="79.77"/>
  </r>
  <r>
    <x v="330"/>
    <x v="9"/>
    <x v="2"/>
    <x v="1"/>
    <n v="7"/>
    <n v="4550"/>
    <n v="892.73"/>
  </r>
  <r>
    <x v="529"/>
    <x v="5"/>
    <x v="2"/>
    <x v="3"/>
    <n v="5"/>
    <n v="2480"/>
    <n v="601.66"/>
  </r>
  <r>
    <x v="531"/>
    <x v="0"/>
    <x v="0"/>
    <x v="3"/>
    <n v="6"/>
    <n v="2604"/>
    <n v="305.73"/>
  </r>
  <r>
    <x v="543"/>
    <x v="8"/>
    <x v="1"/>
    <x v="3"/>
    <n v="7"/>
    <n v="1351"/>
    <n v="310.02999999999997"/>
  </r>
  <r>
    <x v="647"/>
    <x v="6"/>
    <x v="1"/>
    <x v="2"/>
    <n v="5"/>
    <n v="4615"/>
    <n v="251"/>
  </r>
  <r>
    <x v="122"/>
    <x v="1"/>
    <x v="1"/>
    <x v="3"/>
    <n v="1"/>
    <n v="829"/>
    <n v="165.05"/>
  </r>
  <r>
    <x v="878"/>
    <x v="3"/>
    <x v="2"/>
    <x v="3"/>
    <n v="3"/>
    <n v="177"/>
    <n v="43.41"/>
  </r>
  <r>
    <x v="717"/>
    <x v="4"/>
    <x v="1"/>
    <x v="3"/>
    <n v="1"/>
    <n v="1086"/>
    <n v="161.05000000000001"/>
  </r>
  <r>
    <x v="621"/>
    <x v="9"/>
    <x v="2"/>
    <x v="2"/>
    <n v="5"/>
    <n v="275"/>
    <n v="64.900000000000006"/>
  </r>
  <r>
    <x v="787"/>
    <x v="1"/>
    <x v="1"/>
    <x v="0"/>
    <n v="1"/>
    <n v="564"/>
    <n v="164.5"/>
  </r>
  <r>
    <x v="884"/>
    <x v="8"/>
    <x v="1"/>
    <x v="2"/>
    <n v="2"/>
    <n v="684"/>
    <n v="71.39"/>
  </r>
  <r>
    <x v="85"/>
    <x v="9"/>
    <x v="2"/>
    <x v="2"/>
    <n v="4"/>
    <n v="2656"/>
    <n v="687.63"/>
  </r>
  <r>
    <x v="681"/>
    <x v="9"/>
    <x v="2"/>
    <x v="3"/>
    <n v="5"/>
    <n v="1190"/>
    <n v="346.79"/>
  </r>
  <r>
    <x v="84"/>
    <x v="0"/>
    <x v="0"/>
    <x v="2"/>
    <n v="6"/>
    <n v="4854"/>
    <n v="510.88"/>
  </r>
  <r>
    <x v="921"/>
    <x v="0"/>
    <x v="0"/>
    <x v="3"/>
    <n v="5"/>
    <n v="1060"/>
    <n v="217.96"/>
  </r>
  <r>
    <x v="557"/>
    <x v="9"/>
    <x v="2"/>
    <x v="2"/>
    <n v="3"/>
    <n v="1527"/>
    <n v="364.05"/>
  </r>
  <r>
    <x v="668"/>
    <x v="1"/>
    <x v="1"/>
    <x v="1"/>
    <n v="4"/>
    <n v="1168"/>
    <n v="177.54"/>
  </r>
  <r>
    <x v="498"/>
    <x v="2"/>
    <x v="2"/>
    <x v="2"/>
    <n v="8"/>
    <n v="6328"/>
    <n v="1257.81"/>
  </r>
  <r>
    <x v="373"/>
    <x v="7"/>
    <x v="2"/>
    <x v="0"/>
    <n v="3"/>
    <n v="2193"/>
    <n v="477.95"/>
  </r>
  <r>
    <x v="869"/>
    <x v="5"/>
    <x v="2"/>
    <x v="1"/>
    <n v="8"/>
    <n v="7600"/>
    <n v="1099.8800000000001"/>
  </r>
  <r>
    <x v="745"/>
    <x v="0"/>
    <x v="0"/>
    <x v="3"/>
    <n v="9"/>
    <n v="1764"/>
    <n v="322.11"/>
  </r>
  <r>
    <x v="696"/>
    <x v="8"/>
    <x v="1"/>
    <x v="1"/>
    <n v="2"/>
    <n v="1270"/>
    <n v="84.29"/>
  </r>
  <r>
    <x v="304"/>
    <x v="2"/>
    <x v="2"/>
    <x v="0"/>
    <n v="1"/>
    <n v="607"/>
    <n v="33.770000000000003"/>
  </r>
  <r>
    <x v="580"/>
    <x v="1"/>
    <x v="1"/>
    <x v="2"/>
    <n v="2"/>
    <n v="1672"/>
    <n v="469.64"/>
  </r>
  <r>
    <x v="360"/>
    <x v="8"/>
    <x v="1"/>
    <x v="2"/>
    <n v="6"/>
    <n v="5718"/>
    <n v="1358.26"/>
  </r>
  <r>
    <x v="881"/>
    <x v="4"/>
    <x v="1"/>
    <x v="2"/>
    <n v="8"/>
    <n v="584"/>
    <n v="107.27"/>
  </r>
  <r>
    <x v="650"/>
    <x v="3"/>
    <x v="2"/>
    <x v="3"/>
    <n v="7"/>
    <n v="7455"/>
    <n v="966.64"/>
  </r>
  <r>
    <x v="219"/>
    <x v="8"/>
    <x v="1"/>
    <x v="0"/>
    <n v="7"/>
    <n v="7679"/>
    <n v="2270.08"/>
  </r>
  <r>
    <x v="928"/>
    <x v="2"/>
    <x v="2"/>
    <x v="3"/>
    <n v="7"/>
    <n v="847"/>
    <n v="154.05000000000001"/>
  </r>
  <r>
    <x v="462"/>
    <x v="1"/>
    <x v="1"/>
    <x v="3"/>
    <n v="3"/>
    <n v="1278"/>
    <n v="178.78"/>
  </r>
  <r>
    <x v="184"/>
    <x v="8"/>
    <x v="1"/>
    <x v="1"/>
    <n v="8"/>
    <n v="6592"/>
    <n v="1024.82"/>
  </r>
  <r>
    <x v="280"/>
    <x v="6"/>
    <x v="1"/>
    <x v="1"/>
    <n v="8"/>
    <n v="3544"/>
    <n v="454.14"/>
  </r>
  <r>
    <x v="453"/>
    <x v="3"/>
    <x v="2"/>
    <x v="3"/>
    <n v="3"/>
    <n v="1959"/>
    <n v="274.27"/>
  </r>
  <r>
    <x v="382"/>
    <x v="1"/>
    <x v="1"/>
    <x v="2"/>
    <n v="6"/>
    <n v="3384"/>
    <n v="924.03"/>
  </r>
  <r>
    <x v="574"/>
    <x v="7"/>
    <x v="2"/>
    <x v="0"/>
    <n v="1"/>
    <n v="307"/>
    <n v="50.2"/>
  </r>
  <r>
    <x v="559"/>
    <x v="3"/>
    <x v="2"/>
    <x v="3"/>
    <n v="9"/>
    <n v="10017"/>
    <n v="1468.72"/>
  </r>
  <r>
    <x v="143"/>
    <x v="2"/>
    <x v="2"/>
    <x v="2"/>
    <n v="7"/>
    <n v="7931"/>
    <n v="504.39"/>
  </r>
  <r>
    <x v="836"/>
    <x v="9"/>
    <x v="2"/>
    <x v="0"/>
    <n v="2"/>
    <n v="1168"/>
    <n v="198.4"/>
  </r>
  <r>
    <x v="740"/>
    <x v="7"/>
    <x v="2"/>
    <x v="2"/>
    <n v="9"/>
    <n v="9765"/>
    <n v="909.99"/>
  </r>
  <r>
    <x v="630"/>
    <x v="2"/>
    <x v="2"/>
    <x v="2"/>
    <n v="8"/>
    <n v="1456"/>
    <n v="271.26"/>
  </r>
  <r>
    <x v="815"/>
    <x v="7"/>
    <x v="2"/>
    <x v="2"/>
    <n v="5"/>
    <n v="950"/>
    <n v="61.9"/>
  </r>
  <r>
    <x v="839"/>
    <x v="5"/>
    <x v="2"/>
    <x v="3"/>
    <n v="2"/>
    <n v="2314"/>
    <n v="600.76"/>
  </r>
  <r>
    <x v="1049"/>
    <x v="5"/>
    <x v="2"/>
    <x v="0"/>
    <n v="1"/>
    <n v="915"/>
    <n v="264.3"/>
  </r>
  <r>
    <x v="521"/>
    <x v="9"/>
    <x v="2"/>
    <x v="0"/>
    <n v="1"/>
    <n v="290"/>
    <n v="61.14"/>
  </r>
  <r>
    <x v="147"/>
    <x v="2"/>
    <x v="2"/>
    <x v="0"/>
    <n v="7"/>
    <n v="3584"/>
    <n v="940.88"/>
  </r>
  <r>
    <x v="117"/>
    <x v="1"/>
    <x v="1"/>
    <x v="3"/>
    <n v="6"/>
    <n v="1254"/>
    <n v="205.57"/>
  </r>
  <r>
    <x v="955"/>
    <x v="9"/>
    <x v="2"/>
    <x v="0"/>
    <n v="5"/>
    <n v="2410"/>
    <n v="636.83000000000004"/>
  </r>
  <r>
    <x v="487"/>
    <x v="0"/>
    <x v="0"/>
    <x v="0"/>
    <n v="2"/>
    <n v="800"/>
    <n v="118.68"/>
  </r>
  <r>
    <x v="620"/>
    <x v="5"/>
    <x v="2"/>
    <x v="3"/>
    <n v="5"/>
    <n v="990"/>
    <n v="87.61"/>
  </r>
  <r>
    <x v="654"/>
    <x v="9"/>
    <x v="2"/>
    <x v="3"/>
    <n v="9"/>
    <n v="9702"/>
    <n v="2771.49"/>
  </r>
  <r>
    <x v="339"/>
    <x v="8"/>
    <x v="1"/>
    <x v="1"/>
    <n v="8"/>
    <n v="5888"/>
    <n v="354.27"/>
  </r>
  <r>
    <x v="39"/>
    <x v="2"/>
    <x v="2"/>
    <x v="1"/>
    <n v="4"/>
    <n v="1768"/>
    <n v="345.33"/>
  </r>
  <r>
    <x v="1041"/>
    <x v="4"/>
    <x v="1"/>
    <x v="0"/>
    <n v="2"/>
    <n v="1022"/>
    <n v="76.040000000000006"/>
  </r>
  <r>
    <x v="963"/>
    <x v="2"/>
    <x v="2"/>
    <x v="0"/>
    <n v="3"/>
    <n v="2883"/>
    <n v="671.91"/>
  </r>
  <r>
    <x v="831"/>
    <x v="6"/>
    <x v="1"/>
    <x v="0"/>
    <n v="4"/>
    <n v="4064"/>
    <n v="771.16"/>
  </r>
  <r>
    <x v="1026"/>
    <x v="6"/>
    <x v="1"/>
    <x v="1"/>
    <n v="1"/>
    <n v="1117"/>
    <n v="119.89"/>
  </r>
  <r>
    <x v="1050"/>
    <x v="9"/>
    <x v="2"/>
    <x v="2"/>
    <n v="4"/>
    <n v="260"/>
    <n v="66.02"/>
  </r>
  <r>
    <x v="842"/>
    <x v="0"/>
    <x v="0"/>
    <x v="2"/>
    <n v="3"/>
    <n v="222"/>
    <n v="50.28"/>
  </r>
  <r>
    <x v="252"/>
    <x v="5"/>
    <x v="2"/>
    <x v="1"/>
    <n v="9"/>
    <n v="10530"/>
    <n v="1777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D59F4-6CF5-432E-8F2F-346F5619300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X4:Y17" firstHeaderRow="1" firstDataRow="1" firstDataCol="1"/>
  <pivotFields count="10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5" baseField="0" baseItem="0" numFmtId="164"/>
  </dataFields>
  <formats count="4">
    <format dxfId="19">
      <pivotArea outline="0" collapsedLevelsAreSubtotals="1" fieldPosition="0"/>
    </format>
    <format dxfId="18">
      <pivotArea collapsedLevelsAreSubtotals="1" fieldPosition="0">
        <references count="1">
          <reference field="7" count="1">
            <x v="1"/>
          </reference>
        </references>
      </pivotArea>
    </format>
    <format dxfId="17">
      <pivotArea collapsedLevelsAreSubtotals="1" fieldPosition="0">
        <references count="1">
          <reference field="7" count="11"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">
      <pivotArea grandRow="1"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E66CD-3B59-4768-8D29-251C7FF4EFB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U4:V10" firstHeaderRow="1" firstDataRow="1" firstDataCol="1"/>
  <pivotFields count="10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axis="axisRow" showAll="0" measureFilter="1" sortType="descending">
      <items count="11">
        <item x="2"/>
        <item x="5"/>
        <item x="7"/>
        <item x="0"/>
        <item x="1"/>
        <item x="6"/>
        <item x="9"/>
        <item x="8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6">
    <i>
      <x v="9"/>
    </i>
    <i>
      <x v="5"/>
    </i>
    <i>
      <x v="4"/>
    </i>
    <i>
      <x v="6"/>
    </i>
    <i>
      <x v="3"/>
    </i>
    <i t="grand">
      <x/>
    </i>
  </rowItems>
  <colItems count="1">
    <i/>
  </colItems>
  <dataFields count="1">
    <dataField name="Sum of Profit" fld="6" baseField="0" baseItem="0" numFmtId="165"/>
  </dataFields>
  <formats count="1">
    <format dxfId="20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C0C27-3DE7-4715-9388-9446D5A540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5" baseField="0" baseItem="0" numFmtId="165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475AB-C9AE-4F12-B6C1-3D0DADF60B7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8" firstHeaderRow="1" firstDataRow="1" firstDataCol="1"/>
  <pivotFields count="10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5" baseField="0" baseItem="0" numFmtId="167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CA1D7-514C-4ED0-99B4-D3F5B9AF5D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4:G9" firstHeaderRow="1" firstDataRow="2" firstDataCol="1"/>
  <pivotFields count="10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Profit" fld="6" baseField="0" baseItem="0" numFmtId="167"/>
  </dataFields>
  <formats count="1">
    <format dxfId="23">
      <pivotArea outline="0" collapsedLevelsAreSubtotals="1" fieldPosition="0"/>
    </format>
  </formats>
  <chartFormats count="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C23B4-663B-40B3-9844-084785678DD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P9" firstHeaderRow="1" firstDataRow="1" firstDataCol="1"/>
  <pivotFields count="10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 numFmtId="167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C408A-146A-493B-871D-BCD612DFD4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0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Profit" fld="6" baseField="0" baseItem="0" numFmtId="167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D8684-4EFE-48F9-8F0D-720F719E6381}" name="Table1" displayName="Table1" ref="A1:G3501" totalsRowShown="0">
  <autoFilter ref="A1:G3501" xr:uid="{541D8684-4EFE-48F9-8F0D-720F719E6381}"/>
  <tableColumns count="7">
    <tableColumn id="1" xr3:uid="{11D1FE1D-DF63-4414-8423-FA38F0BB7D85}" name="Order Date" dataDxfId="26"/>
    <tableColumn id="2" xr3:uid="{B70D68C7-4DEA-4FCF-8B9A-AE98687F2FF4}" name="Product Name"/>
    <tableColumn id="3" xr3:uid="{A71A6007-EDF9-4630-B7B4-13A162A947A6}" name="Category"/>
    <tableColumn id="4" xr3:uid="{41E1E1E1-9EBD-4D03-8218-2B59C774B118}" name="Region"/>
    <tableColumn id="5" xr3:uid="{22DA3B84-14F0-4837-91FC-D4FE754E13F7}" name="Quantity"/>
    <tableColumn id="6" xr3:uid="{0C0C7822-1564-4586-A93D-8D40B07FBFBA}" name="Sales"/>
    <tableColumn id="7" xr3:uid="{EC57A104-3966-48BB-96EF-328ED2A4BA7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F931-1664-45CF-B5E1-70AFCF6A0265}">
  <dimension ref="A1:G3501"/>
  <sheetViews>
    <sheetView workbookViewId="0">
      <pane ySplit="1" topLeftCell="A13" activePane="bottomLeft" state="frozen"/>
      <selection pane="bottomLeft" sqref="A1:G3501"/>
    </sheetView>
  </sheetViews>
  <sheetFormatPr defaultColWidth="16.8554687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 x14ac:dyDescent="0.25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 x14ac:dyDescent="0.25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 x14ac:dyDescent="0.25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 x14ac:dyDescent="0.25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 x14ac:dyDescent="0.25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 x14ac:dyDescent="0.25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 x14ac:dyDescent="0.25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 x14ac:dyDescent="0.25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 x14ac:dyDescent="0.25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 x14ac:dyDescent="0.25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 x14ac:dyDescent="0.25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 x14ac:dyDescent="0.25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 x14ac:dyDescent="0.25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 x14ac:dyDescent="0.25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25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25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25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25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25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25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25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25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 x14ac:dyDescent="0.25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 x14ac:dyDescent="0.25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25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25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25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25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25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25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 x14ac:dyDescent="0.25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25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25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25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25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25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25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25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25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25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25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25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25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25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25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 x14ac:dyDescent="0.25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25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25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25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25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25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25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 x14ac:dyDescent="0.25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25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 x14ac:dyDescent="0.25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25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 x14ac:dyDescent="0.25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25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 x14ac:dyDescent="0.25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25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25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25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25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25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25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25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 x14ac:dyDescent="0.25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25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25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25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25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25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25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25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25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25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25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25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25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25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25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25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25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25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25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25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25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25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25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25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25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25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25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25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25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25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 x14ac:dyDescent="0.25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25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25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25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25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25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25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25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25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25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 x14ac:dyDescent="0.25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 x14ac:dyDescent="0.25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25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 x14ac:dyDescent="0.25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25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 x14ac:dyDescent="0.25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25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25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25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25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25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25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25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 x14ac:dyDescent="0.25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25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25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25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25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25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25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25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25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25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25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25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25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25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25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25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 x14ac:dyDescent="0.25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25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25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25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25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25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25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25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25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25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25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25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 x14ac:dyDescent="0.25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25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25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25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25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25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25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25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25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25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25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25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 x14ac:dyDescent="0.25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25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25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25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25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25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25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25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25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 x14ac:dyDescent="0.25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25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25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25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25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25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25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25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25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25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25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25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25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25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25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25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 x14ac:dyDescent="0.25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25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25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25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25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25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25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25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25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25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 x14ac:dyDescent="0.25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25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25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25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25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25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25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25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25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25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 x14ac:dyDescent="0.25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25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25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 x14ac:dyDescent="0.25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25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25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25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25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25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 x14ac:dyDescent="0.25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25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25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25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25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25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 x14ac:dyDescent="0.25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25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25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25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25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25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25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25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25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25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25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25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25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25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25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25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25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25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25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25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25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25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25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25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 x14ac:dyDescent="0.25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25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25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25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 x14ac:dyDescent="0.25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25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25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25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25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25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25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25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25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25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25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25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25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25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25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25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25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25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25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25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25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 x14ac:dyDescent="0.25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25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25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25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25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 x14ac:dyDescent="0.25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25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25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25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25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 x14ac:dyDescent="0.25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25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25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25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25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25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25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25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25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25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25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25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25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25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25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25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25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25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25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25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25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25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25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25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25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25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25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 x14ac:dyDescent="0.25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 x14ac:dyDescent="0.25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25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25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25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25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 x14ac:dyDescent="0.25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25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25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25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25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25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25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25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25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 x14ac:dyDescent="0.25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25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 x14ac:dyDescent="0.25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 x14ac:dyDescent="0.25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25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25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25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25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25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25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25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25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25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25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25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25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25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25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25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25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25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25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25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25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25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25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25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25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25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25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25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25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25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25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25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 x14ac:dyDescent="0.25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25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25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25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25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25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25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25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25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25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25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25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25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25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25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25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 x14ac:dyDescent="0.25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25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25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25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25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25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25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25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 x14ac:dyDescent="0.25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 x14ac:dyDescent="0.25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25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25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25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25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25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25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25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25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25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25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25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25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25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25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25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25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25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25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25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25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25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25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25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25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25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25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 x14ac:dyDescent="0.25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25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25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25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25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25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25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25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 x14ac:dyDescent="0.25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25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25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25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25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25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25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 x14ac:dyDescent="0.25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25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25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25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25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25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25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25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25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 x14ac:dyDescent="0.25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25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25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25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25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25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25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25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25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25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25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25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25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 x14ac:dyDescent="0.25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25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25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25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25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25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25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 x14ac:dyDescent="0.25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25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25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25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25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25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25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25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25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25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25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25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25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25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25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 x14ac:dyDescent="0.25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25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25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25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25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25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25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25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25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25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25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25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25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25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25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25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25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25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 x14ac:dyDescent="0.25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25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 x14ac:dyDescent="0.25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25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25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25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 x14ac:dyDescent="0.25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25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25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25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25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25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25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25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25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25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 x14ac:dyDescent="0.25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25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25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 x14ac:dyDescent="0.25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25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25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25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25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25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25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25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25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25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25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25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25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25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25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25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 x14ac:dyDescent="0.25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25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25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25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 x14ac:dyDescent="0.25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 x14ac:dyDescent="0.25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25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25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25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25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25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25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25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25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25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25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25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25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25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25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 x14ac:dyDescent="0.25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25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 x14ac:dyDescent="0.25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25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25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 x14ac:dyDescent="0.25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25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25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25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25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25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25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25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25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25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25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25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25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25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25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25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25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 x14ac:dyDescent="0.25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25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 x14ac:dyDescent="0.25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25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25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25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 x14ac:dyDescent="0.25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25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25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25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25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25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25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25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25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25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25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25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25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25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25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25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25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25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25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25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25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25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25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25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25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25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25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25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25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25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25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25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25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25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 x14ac:dyDescent="0.25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25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25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25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25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25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25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25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25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25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 x14ac:dyDescent="0.25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25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25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25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25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 x14ac:dyDescent="0.25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25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 x14ac:dyDescent="0.25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25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 x14ac:dyDescent="0.25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25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25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25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25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25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25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25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25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 x14ac:dyDescent="0.25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25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25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25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25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25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25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25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25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25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25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25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25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25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 x14ac:dyDescent="0.25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25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25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25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25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25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25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25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 x14ac:dyDescent="0.25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25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25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25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25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25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25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25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25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25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25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25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25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 x14ac:dyDescent="0.25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25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25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25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25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25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25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25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25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 x14ac:dyDescent="0.25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25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25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25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25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25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25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25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25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25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25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25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25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25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25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25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25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25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 x14ac:dyDescent="0.25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25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25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25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25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25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25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25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25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25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25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25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25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25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25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25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 x14ac:dyDescent="0.25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25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25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25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25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25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25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 x14ac:dyDescent="0.25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25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25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25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25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25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25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25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25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25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25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25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25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25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25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25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25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25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25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25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25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25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25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25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25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25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25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25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25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25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25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25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25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25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25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25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 x14ac:dyDescent="0.25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25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25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25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25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25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25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25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25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25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25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25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25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 x14ac:dyDescent="0.25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25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25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25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25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25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25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25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25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25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25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 x14ac:dyDescent="0.25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25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25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25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25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25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25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25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 x14ac:dyDescent="0.25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25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25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25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25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25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25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25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25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25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25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25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25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25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25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25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25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25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25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25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25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25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 x14ac:dyDescent="0.25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25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25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25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25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25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25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25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25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 x14ac:dyDescent="0.25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25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 x14ac:dyDescent="0.25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25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25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25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25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25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25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25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25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25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25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25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25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25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25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25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25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25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25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25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25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25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25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25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25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 x14ac:dyDescent="0.25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25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25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25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25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25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25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25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25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25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25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25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 x14ac:dyDescent="0.25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25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25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25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25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25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25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 x14ac:dyDescent="0.25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25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25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25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25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25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25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25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25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25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25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25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25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25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25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25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25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25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25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25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25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25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25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25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25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25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25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25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25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25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25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 x14ac:dyDescent="0.25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25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25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25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 x14ac:dyDescent="0.25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25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25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25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25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25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25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25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25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25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25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25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25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25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25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25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25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25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25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25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25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25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25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25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25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25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25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25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25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25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25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25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25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 x14ac:dyDescent="0.25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25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25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25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25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25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25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25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25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25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25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25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25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25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25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25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25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25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25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25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25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25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25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25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25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25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25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25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25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25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 x14ac:dyDescent="0.25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25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25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25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25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 x14ac:dyDescent="0.25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25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25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25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25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25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25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25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25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25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25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25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25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 x14ac:dyDescent="0.25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25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25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25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25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25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25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25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25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25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25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25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25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25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25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25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25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25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25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 x14ac:dyDescent="0.25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 x14ac:dyDescent="0.25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25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25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25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25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25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 x14ac:dyDescent="0.25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 x14ac:dyDescent="0.25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25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25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 x14ac:dyDescent="0.25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25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25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25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25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25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25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25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 x14ac:dyDescent="0.25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25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25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25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25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25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25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25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25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25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25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25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25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25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25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25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25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 x14ac:dyDescent="0.25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25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25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25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25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25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25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25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25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25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25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25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 x14ac:dyDescent="0.25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25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25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 x14ac:dyDescent="0.25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25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25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25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25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 x14ac:dyDescent="0.25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25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25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25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25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25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25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25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 x14ac:dyDescent="0.25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25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 x14ac:dyDescent="0.25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25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25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25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25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25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25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25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 x14ac:dyDescent="0.25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25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25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25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25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25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25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25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25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25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25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25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25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25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25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25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25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25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25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 x14ac:dyDescent="0.25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25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 x14ac:dyDescent="0.25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25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25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25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25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25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25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25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25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25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25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25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25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25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25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25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25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25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25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25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25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25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25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 x14ac:dyDescent="0.25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25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25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25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25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25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25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25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25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25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25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25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25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25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 x14ac:dyDescent="0.25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25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25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25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25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 x14ac:dyDescent="0.25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25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25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25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25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25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25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 x14ac:dyDescent="0.25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25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25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25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25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25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25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 x14ac:dyDescent="0.25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25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25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25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25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25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25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 x14ac:dyDescent="0.25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25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25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25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25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25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25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25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25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25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25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25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25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25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25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25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25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25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25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25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 x14ac:dyDescent="0.25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25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 x14ac:dyDescent="0.25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25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25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25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25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25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25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25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25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25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25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25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25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 x14ac:dyDescent="0.25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25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25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25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25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25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25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 x14ac:dyDescent="0.25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25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 x14ac:dyDescent="0.25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25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25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25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25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25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25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25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25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25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25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25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25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25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25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25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25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25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25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25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25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25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25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25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 x14ac:dyDescent="0.25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25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25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 x14ac:dyDescent="0.25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25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25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25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25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25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25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25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25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25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25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25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25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25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25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25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25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25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25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25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25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25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25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25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25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25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25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25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25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25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25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25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25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25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25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 x14ac:dyDescent="0.25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25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25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25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 x14ac:dyDescent="0.25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25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25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25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25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 x14ac:dyDescent="0.25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25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25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 x14ac:dyDescent="0.25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25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25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25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 x14ac:dyDescent="0.25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25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25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25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25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25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25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 x14ac:dyDescent="0.25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25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25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25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 x14ac:dyDescent="0.25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25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25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25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25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25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25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25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25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25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25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25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25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25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25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25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25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25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25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25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25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25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25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25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 x14ac:dyDescent="0.25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25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25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 x14ac:dyDescent="0.25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25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25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25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25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25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25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25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25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25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25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25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25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25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25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25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25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25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25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25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25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25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25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25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 x14ac:dyDescent="0.25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25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25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25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25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25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25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25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25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25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25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25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25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25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25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25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25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25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25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25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25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25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 x14ac:dyDescent="0.25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25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25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25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25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 x14ac:dyDescent="0.25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25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25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25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25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25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25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25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25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25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25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 x14ac:dyDescent="0.25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25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25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25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25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25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25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25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25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25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25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25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 x14ac:dyDescent="0.25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25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25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25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25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25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25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25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25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25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25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25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25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25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25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25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25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25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25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25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25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25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25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25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25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25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25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25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25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25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25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25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25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25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25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25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25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25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25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25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25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25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25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25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25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25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25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25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25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25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25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25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25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25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 x14ac:dyDescent="0.25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25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25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25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25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25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 x14ac:dyDescent="0.25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25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25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25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25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25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25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 x14ac:dyDescent="0.25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25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25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25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25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25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25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25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25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25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25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25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25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25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25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25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25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 x14ac:dyDescent="0.25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25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25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 x14ac:dyDescent="0.25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25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25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25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25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25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 x14ac:dyDescent="0.25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 x14ac:dyDescent="0.25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25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25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25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25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25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25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25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25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25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25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 x14ac:dyDescent="0.25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25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25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25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25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25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25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25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25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25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25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25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 x14ac:dyDescent="0.25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25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25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25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25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25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25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25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25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25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25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25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25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25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25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25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25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25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25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25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25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25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25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25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25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25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25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25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25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25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25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25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25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25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25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25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25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25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25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25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25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25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25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25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25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25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25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25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25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25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 x14ac:dyDescent="0.25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25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25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25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25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25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25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25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25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25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25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25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25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25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25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25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25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25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25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25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25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25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25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 x14ac:dyDescent="0.25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25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25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25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25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25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25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25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 x14ac:dyDescent="0.25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25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25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25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25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25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 x14ac:dyDescent="0.25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25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25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25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25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 x14ac:dyDescent="0.25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25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25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25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 x14ac:dyDescent="0.25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25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 x14ac:dyDescent="0.25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25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 x14ac:dyDescent="0.25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25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 x14ac:dyDescent="0.25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25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 x14ac:dyDescent="0.25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25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25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25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25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25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25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25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25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25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25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 x14ac:dyDescent="0.25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25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25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 x14ac:dyDescent="0.25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25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25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25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 x14ac:dyDescent="0.25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25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25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25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 x14ac:dyDescent="0.25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25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25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25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25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25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25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25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25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25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25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 x14ac:dyDescent="0.25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 x14ac:dyDescent="0.25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25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 x14ac:dyDescent="0.25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25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25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25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25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25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25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 x14ac:dyDescent="0.25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 x14ac:dyDescent="0.25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 x14ac:dyDescent="0.25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25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25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25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25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25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25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 x14ac:dyDescent="0.25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25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25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25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25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25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 x14ac:dyDescent="0.25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25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 x14ac:dyDescent="0.25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 x14ac:dyDescent="0.25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25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25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25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25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25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25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25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25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25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25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25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25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25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 x14ac:dyDescent="0.25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25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25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25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25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25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25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 x14ac:dyDescent="0.25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25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25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25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25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25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25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25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25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25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25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 x14ac:dyDescent="0.25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 x14ac:dyDescent="0.25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 x14ac:dyDescent="0.25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25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25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25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25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25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25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25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25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25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25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25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25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25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25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25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25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25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25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25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25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25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25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25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25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25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25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25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25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25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25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 x14ac:dyDescent="0.25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25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25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25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25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25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25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25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25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25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25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 x14ac:dyDescent="0.25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25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25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25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25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25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25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25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 x14ac:dyDescent="0.25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25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 x14ac:dyDescent="0.25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25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25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25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25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25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25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25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25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25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25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25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25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25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 x14ac:dyDescent="0.25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25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25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 x14ac:dyDescent="0.25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25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25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25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25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25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 x14ac:dyDescent="0.25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25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 x14ac:dyDescent="0.25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25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25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25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25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25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25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25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25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25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25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25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25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25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25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25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25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25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25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25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25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25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25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25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25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 x14ac:dyDescent="0.25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25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25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25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25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25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25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25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25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25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25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25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25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25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25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25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25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25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25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25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25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 x14ac:dyDescent="0.25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25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25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25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25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25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25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25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25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25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25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25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25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25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25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25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25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25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25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25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25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25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25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25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25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25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25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25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25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25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25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25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25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25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25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25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25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25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25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25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25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25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25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25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25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25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25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25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25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25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 x14ac:dyDescent="0.25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25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25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25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25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25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25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25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25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25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25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25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25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 x14ac:dyDescent="0.25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25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 x14ac:dyDescent="0.25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25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25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25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25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25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25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25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25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25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25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25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25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25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25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25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25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25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25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25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25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25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25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25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25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25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25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25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25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25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25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25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25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25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25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25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25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25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25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25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25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25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25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25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25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25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 x14ac:dyDescent="0.25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25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25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25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25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25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 x14ac:dyDescent="0.25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25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25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 x14ac:dyDescent="0.25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25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25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25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25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 x14ac:dyDescent="0.25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25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 x14ac:dyDescent="0.25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25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25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25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 x14ac:dyDescent="0.25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25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25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25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25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25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25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25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25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25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25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25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25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 x14ac:dyDescent="0.25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 x14ac:dyDescent="0.25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25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25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25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25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25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25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25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25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25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25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25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25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25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25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25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25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25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25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25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 x14ac:dyDescent="0.25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 x14ac:dyDescent="0.25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25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25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25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25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25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25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25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25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25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25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25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25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25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25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25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25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25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25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25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25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25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25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25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25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25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 x14ac:dyDescent="0.25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25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25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25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25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25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 x14ac:dyDescent="0.25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25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25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25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25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25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25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25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25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25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25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25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25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25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25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25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25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25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25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25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 x14ac:dyDescent="0.25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25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25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25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25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25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25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25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25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25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25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25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25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25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25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25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25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25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25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25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25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25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25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25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25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25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 x14ac:dyDescent="0.25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25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 x14ac:dyDescent="0.25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25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25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25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25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25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25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25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25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 x14ac:dyDescent="0.25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25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25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25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25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25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25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25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25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25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25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25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25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25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25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25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25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25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25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25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25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25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25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25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25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25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25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25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25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25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25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25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25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25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25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25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25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 x14ac:dyDescent="0.25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25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25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25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25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25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25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25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25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25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25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25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25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25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25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25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25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25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25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25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25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25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25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 x14ac:dyDescent="0.25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25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25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25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25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25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25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25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 x14ac:dyDescent="0.25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25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25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 x14ac:dyDescent="0.25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 x14ac:dyDescent="0.25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25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25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25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25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 x14ac:dyDescent="0.25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25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25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25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25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25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25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25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25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25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25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25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25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25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25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25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25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25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25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25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25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25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25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 x14ac:dyDescent="0.25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25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25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25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25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25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25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25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25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25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25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25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25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25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25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 x14ac:dyDescent="0.25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25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25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25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25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25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25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25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25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25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25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25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25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25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25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25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25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25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25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25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 x14ac:dyDescent="0.25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25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25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25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25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25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25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25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25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25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25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 x14ac:dyDescent="0.25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25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25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25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25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25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 x14ac:dyDescent="0.25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 x14ac:dyDescent="0.25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25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25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25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25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25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25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25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25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25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25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25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25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25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25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25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25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25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25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25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25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25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25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 x14ac:dyDescent="0.25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25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25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25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25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25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25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25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25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25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25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25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25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25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25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25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25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25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25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 x14ac:dyDescent="0.25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25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25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25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25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25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25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25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25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25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25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25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 x14ac:dyDescent="0.25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 x14ac:dyDescent="0.25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25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25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 x14ac:dyDescent="0.25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25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25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25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25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25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25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25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25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25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25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 x14ac:dyDescent="0.25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 x14ac:dyDescent="0.25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25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25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 x14ac:dyDescent="0.25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25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25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25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25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25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25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25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25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25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25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25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25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25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25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 x14ac:dyDescent="0.25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25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25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 x14ac:dyDescent="0.25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25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 x14ac:dyDescent="0.25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25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25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25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 x14ac:dyDescent="0.25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25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 x14ac:dyDescent="0.25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 x14ac:dyDescent="0.25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25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25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 x14ac:dyDescent="0.25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25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25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25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 x14ac:dyDescent="0.25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25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25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25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25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25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25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25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25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25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25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25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25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25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25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25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25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25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25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25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25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25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25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25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25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 x14ac:dyDescent="0.25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25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25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25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25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25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25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25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25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25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25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25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25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25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 x14ac:dyDescent="0.25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25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25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25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25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25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25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25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 x14ac:dyDescent="0.25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25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 x14ac:dyDescent="0.25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25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25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25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 x14ac:dyDescent="0.25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25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25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25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25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25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25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25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25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25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25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25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 x14ac:dyDescent="0.25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25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25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25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25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25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25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25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25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25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25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25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25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25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25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25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25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25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25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25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 x14ac:dyDescent="0.25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25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25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25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 x14ac:dyDescent="0.25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25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25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25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25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25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25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 x14ac:dyDescent="0.25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25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25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25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25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25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25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 x14ac:dyDescent="0.25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25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25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25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25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 x14ac:dyDescent="0.25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25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25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25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25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25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25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 x14ac:dyDescent="0.25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25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25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25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25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25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25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25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25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25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25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25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25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25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25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25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 x14ac:dyDescent="0.25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25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25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25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25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25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25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25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25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25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25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25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25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25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25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25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25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 x14ac:dyDescent="0.25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25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25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25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25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25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25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25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25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25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 x14ac:dyDescent="0.25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25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 x14ac:dyDescent="0.25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25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 x14ac:dyDescent="0.25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25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25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25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25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25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25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25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25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25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 x14ac:dyDescent="0.25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25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25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25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25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25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25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25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25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25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25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25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25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25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25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25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25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25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25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25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25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25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25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25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25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25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25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25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25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25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25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25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25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25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25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25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25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25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25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25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 x14ac:dyDescent="0.25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 x14ac:dyDescent="0.25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25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25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 x14ac:dyDescent="0.25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25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25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25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25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 x14ac:dyDescent="0.25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25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25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25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25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25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25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25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 x14ac:dyDescent="0.25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25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25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25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25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25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25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25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25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25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25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25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25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25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25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25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25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25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25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25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25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25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25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25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25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25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25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25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25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25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25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25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25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25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25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25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25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25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25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25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25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25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25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25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25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25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25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25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25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25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25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25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25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25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25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25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25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25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25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25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 x14ac:dyDescent="0.25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25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25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25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25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25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25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25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25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25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25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25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25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25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25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25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25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25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25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25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25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25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 x14ac:dyDescent="0.25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25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25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25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25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25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25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25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25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25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25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25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25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25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25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 x14ac:dyDescent="0.25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25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25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25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25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25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25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25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25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25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25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25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25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25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25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 x14ac:dyDescent="0.25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25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25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25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25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25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25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25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 x14ac:dyDescent="0.25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25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25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25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25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25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25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25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25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25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25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25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25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25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25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25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25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25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25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25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25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25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25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25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25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25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25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25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25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 x14ac:dyDescent="0.25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25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 x14ac:dyDescent="0.25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25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25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25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25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25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 x14ac:dyDescent="0.25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 x14ac:dyDescent="0.25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25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25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 x14ac:dyDescent="0.25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25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25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25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25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25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25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25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25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25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25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 x14ac:dyDescent="0.25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25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25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25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25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25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25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 x14ac:dyDescent="0.25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25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25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25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25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25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25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25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 x14ac:dyDescent="0.25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25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25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25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 x14ac:dyDescent="0.25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25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25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25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 x14ac:dyDescent="0.25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25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25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25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25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25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 x14ac:dyDescent="0.25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25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25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 x14ac:dyDescent="0.25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25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 x14ac:dyDescent="0.25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25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25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25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25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25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25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25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25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25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25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25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25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25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25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25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25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25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25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25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25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25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25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25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 x14ac:dyDescent="0.25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25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25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25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25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25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25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25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25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25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25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25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25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25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25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25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25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25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25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25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25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 x14ac:dyDescent="0.25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 x14ac:dyDescent="0.25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25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25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25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25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 x14ac:dyDescent="0.25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25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25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25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25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25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25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25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25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25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25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25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25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 x14ac:dyDescent="0.25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25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25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25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25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25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25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25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25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 x14ac:dyDescent="0.25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25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25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25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 x14ac:dyDescent="0.25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25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25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25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25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25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25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25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25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25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25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25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25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 x14ac:dyDescent="0.25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25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25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25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25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 x14ac:dyDescent="0.25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25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25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25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25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25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 x14ac:dyDescent="0.25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25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25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25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25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25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25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25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25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25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25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25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25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25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25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25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25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25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25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25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25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25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25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25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25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25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25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25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25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25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25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25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25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25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25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25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25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25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25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25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25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25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25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25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25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25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25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25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25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25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25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25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25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25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25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25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25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25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25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25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25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25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 x14ac:dyDescent="0.25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25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25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25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25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25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 x14ac:dyDescent="0.25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25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25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25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25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25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25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25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25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25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25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25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25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25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25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25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25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25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25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25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25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25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 x14ac:dyDescent="0.25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25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25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25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25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25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25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 x14ac:dyDescent="0.25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25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25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25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25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25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25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25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25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 x14ac:dyDescent="0.25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25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25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25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25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25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 x14ac:dyDescent="0.25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25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25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25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25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25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25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25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25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25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25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25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25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25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25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25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25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 x14ac:dyDescent="0.25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25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25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25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25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25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25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25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25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25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25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25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25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25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25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25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25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25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 x14ac:dyDescent="0.25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25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25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25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25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25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25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25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25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25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25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25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25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 x14ac:dyDescent="0.25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25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25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25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25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25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25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25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25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25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25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 x14ac:dyDescent="0.25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25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25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25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25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25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25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25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25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 x14ac:dyDescent="0.25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25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25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25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25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25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25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25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25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25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25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25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25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25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25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25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25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 x14ac:dyDescent="0.25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25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25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25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25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25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25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25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25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25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25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25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25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25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25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25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25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25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25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 x14ac:dyDescent="0.25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25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25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25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25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25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25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25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25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25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25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25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25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25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25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25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25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25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25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25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25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25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 x14ac:dyDescent="0.25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25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 x14ac:dyDescent="0.25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25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25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25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25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25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25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25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25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25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 x14ac:dyDescent="0.25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25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25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25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25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25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25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25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25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25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25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25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25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 x14ac:dyDescent="0.25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25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25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25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25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 x14ac:dyDescent="0.25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25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 x14ac:dyDescent="0.25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25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 x14ac:dyDescent="0.25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25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25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25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25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25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25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25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25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25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25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25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25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 x14ac:dyDescent="0.25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25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25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25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25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25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25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25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25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25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25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25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25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25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 x14ac:dyDescent="0.25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25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25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25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25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25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25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 x14ac:dyDescent="0.25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 x14ac:dyDescent="0.25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25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25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25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25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25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25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25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 x14ac:dyDescent="0.25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25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25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25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25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25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25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25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 x14ac:dyDescent="0.25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25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 x14ac:dyDescent="0.25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25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25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25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25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25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25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25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25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25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 x14ac:dyDescent="0.25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25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25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25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25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25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25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25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25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25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25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25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25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25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25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25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25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25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25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25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25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25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25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 x14ac:dyDescent="0.25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25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25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25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25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 x14ac:dyDescent="0.25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25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25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25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25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25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25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25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25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25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25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25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25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 x14ac:dyDescent="0.25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25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25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25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25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25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25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25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 x14ac:dyDescent="0.25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25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 x14ac:dyDescent="0.25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25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25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25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25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25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25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25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25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25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25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25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25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25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25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25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25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25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 x14ac:dyDescent="0.25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25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25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25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25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25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25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 x14ac:dyDescent="0.25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25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 x14ac:dyDescent="0.25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25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25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25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25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25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25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25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25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25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25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25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25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25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25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 x14ac:dyDescent="0.25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 x14ac:dyDescent="0.25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25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25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25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25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25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25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25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 x14ac:dyDescent="0.25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25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25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25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25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25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25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25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25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25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25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25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25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25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25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25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25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25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25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25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 x14ac:dyDescent="0.25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25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25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25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25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 x14ac:dyDescent="0.25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25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25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 x14ac:dyDescent="0.25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25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25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25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25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25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25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25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25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25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25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25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25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25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25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25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25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25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25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25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 x14ac:dyDescent="0.25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25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25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25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25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25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25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25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 x14ac:dyDescent="0.25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25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25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25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25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25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25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25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25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25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25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25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25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25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25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25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 x14ac:dyDescent="0.25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25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25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25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25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25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25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25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25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 x14ac:dyDescent="0.25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25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25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25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25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25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25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25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25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25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25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25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25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25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25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25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25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25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25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25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25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25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25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25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25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25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25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25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25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25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25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25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25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25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25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25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25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 x14ac:dyDescent="0.25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25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25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25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25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25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25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25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25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25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25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25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25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25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 x14ac:dyDescent="0.25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25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25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25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 x14ac:dyDescent="0.25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 x14ac:dyDescent="0.25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25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25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25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25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25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25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25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25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25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25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25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25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25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25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25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25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25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25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25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25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25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25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25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25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 x14ac:dyDescent="0.25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25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25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 x14ac:dyDescent="0.25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25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25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 x14ac:dyDescent="0.25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25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 x14ac:dyDescent="0.25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25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25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25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25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25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25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25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25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25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25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25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25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25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25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25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451A-4DEC-4516-8EBE-944B8E6C9A32}">
  <dimension ref="A2:Y17"/>
  <sheetViews>
    <sheetView topLeftCell="I1" workbookViewId="0">
      <selection activeCell="X4" sqref="X4"/>
    </sheetView>
  </sheetViews>
  <sheetFormatPr defaultRowHeight="15" x14ac:dyDescent="0.25"/>
  <cols>
    <col min="1" max="1" width="15.28515625" bestFit="1" customWidth="1"/>
    <col min="2" max="2" width="3.5703125" customWidth="1"/>
    <col min="3" max="3" width="13.140625" bestFit="1" customWidth="1"/>
    <col min="4" max="4" width="16.28515625" bestFit="1" customWidth="1"/>
    <col min="5" max="5" width="10.5703125" bestFit="1" customWidth="1"/>
    <col min="6" max="6" width="10" bestFit="1" customWidth="1"/>
    <col min="7" max="7" width="11.5703125" bestFit="1" customWidth="1"/>
    <col min="8" max="8" width="2.42578125" customWidth="1"/>
    <col min="9" max="9" width="13.140625" bestFit="1" customWidth="1"/>
    <col min="10" max="10" width="12.5703125" bestFit="1" customWidth="1"/>
    <col min="11" max="11" width="2" customWidth="1"/>
    <col min="12" max="12" width="12.28515625" customWidth="1"/>
    <col min="13" max="13" width="14.28515625" bestFit="1" customWidth="1"/>
    <col min="14" max="14" width="2.85546875" customWidth="1"/>
    <col min="15" max="15" width="15.5703125" customWidth="1"/>
    <col min="16" max="16" width="15.28515625" bestFit="1" customWidth="1"/>
    <col min="17" max="17" width="2.7109375" customWidth="1"/>
    <col min="19" max="19" width="14.28515625" bestFit="1" customWidth="1"/>
    <col min="20" max="20" width="2.5703125" customWidth="1"/>
    <col min="21" max="21" width="13.140625" bestFit="1" customWidth="1"/>
    <col min="22" max="22" width="12.5703125" bestFit="1" customWidth="1"/>
    <col min="23" max="23" width="2.140625" customWidth="1"/>
    <col min="24" max="24" width="13.140625" bestFit="1" customWidth="1"/>
    <col min="25" max="25" width="12.5703125" bestFit="1" customWidth="1"/>
  </cols>
  <sheetData>
    <row r="2" spans="1:25" ht="15.75" x14ac:dyDescent="0.25">
      <c r="A2" s="9" t="s">
        <v>27</v>
      </c>
    </row>
    <row r="3" spans="1:25" ht="15.75" x14ac:dyDescent="0.25">
      <c r="A3" t="s">
        <v>24</v>
      </c>
      <c r="C3" s="9" t="s">
        <v>26</v>
      </c>
      <c r="I3" s="9" t="s">
        <v>34</v>
      </c>
      <c r="O3" s="9" t="s">
        <v>49</v>
      </c>
      <c r="U3" s="9" t="s">
        <v>35</v>
      </c>
      <c r="X3" s="9" t="s">
        <v>36</v>
      </c>
    </row>
    <row r="4" spans="1:25" ht="15.75" x14ac:dyDescent="0.25">
      <c r="A4" s="5">
        <v>10667881</v>
      </c>
      <c r="C4" s="2" t="s">
        <v>25</v>
      </c>
      <c r="D4" s="2" t="s">
        <v>50</v>
      </c>
      <c r="I4" s="2" t="s">
        <v>29</v>
      </c>
      <c r="J4" t="s">
        <v>24</v>
      </c>
      <c r="L4" s="3" t="s">
        <v>2</v>
      </c>
      <c r="M4" s="3" t="s">
        <v>5</v>
      </c>
      <c r="O4" s="2" t="s">
        <v>29</v>
      </c>
      <c r="P4" t="s">
        <v>24</v>
      </c>
      <c r="R4" s="3" t="s">
        <v>3</v>
      </c>
      <c r="S4" s="3" t="s">
        <v>5</v>
      </c>
      <c r="U4" s="2" t="s">
        <v>29</v>
      </c>
      <c r="V4" t="s">
        <v>25</v>
      </c>
      <c r="X4" s="2" t="s">
        <v>29</v>
      </c>
      <c r="Y4" t="s">
        <v>24</v>
      </c>
    </row>
    <row r="5" spans="1:25" x14ac:dyDescent="0.25">
      <c r="C5" s="2" t="s">
        <v>29</v>
      </c>
      <c r="D5" t="s">
        <v>11</v>
      </c>
      <c r="E5" t="s">
        <v>14</v>
      </c>
      <c r="F5" t="s">
        <v>8</v>
      </c>
      <c r="G5" t="s">
        <v>30</v>
      </c>
      <c r="I5" s="4" t="s">
        <v>14</v>
      </c>
      <c r="J5" s="6">
        <v>5326074</v>
      </c>
      <c r="L5" t="str">
        <f>I5</f>
        <v>Electronics</v>
      </c>
      <c r="M5" s="8">
        <f>GETPIVOTDATA("Sales",$I$4,"Category",L5)</f>
        <v>5326074</v>
      </c>
      <c r="O5" s="4" t="s">
        <v>12</v>
      </c>
      <c r="P5" s="6">
        <v>2675110</v>
      </c>
      <c r="R5" t="str">
        <f>O5</f>
        <v>East</v>
      </c>
      <c r="S5" s="7">
        <f>GETPIVOTDATA("Sales",$O$4,"Region",R5)</f>
        <v>2675110</v>
      </c>
      <c r="U5" s="4" t="s">
        <v>17</v>
      </c>
      <c r="V5" s="5">
        <v>207630.9899999999</v>
      </c>
      <c r="X5" s="4" t="s">
        <v>37</v>
      </c>
      <c r="Y5" s="5">
        <v>967614</v>
      </c>
    </row>
    <row r="6" spans="1:25" ht="15.75" x14ac:dyDescent="0.25">
      <c r="A6" s="9" t="s">
        <v>28</v>
      </c>
      <c r="C6" s="4" t="s">
        <v>31</v>
      </c>
      <c r="D6" s="6">
        <v>238187.58</v>
      </c>
      <c r="E6" s="6">
        <v>286236.29999999987</v>
      </c>
      <c r="F6" s="6">
        <v>48433.100000000006</v>
      </c>
      <c r="G6" s="6">
        <v>572856.97999999986</v>
      </c>
      <c r="I6" s="4" t="s">
        <v>11</v>
      </c>
      <c r="J6" s="6">
        <v>4247591</v>
      </c>
      <c r="L6" t="str">
        <f t="shared" ref="L6:L7" si="0">I6</f>
        <v>Accessories</v>
      </c>
      <c r="M6" s="8">
        <f t="shared" ref="M6:M7" si="1">GETPIVOTDATA("Sales",$I$4,"Category",L6)</f>
        <v>4247591</v>
      </c>
      <c r="O6" s="4" t="s">
        <v>9</v>
      </c>
      <c r="P6" s="6">
        <v>2488773</v>
      </c>
      <c r="R6" t="str">
        <f t="shared" ref="R6:R8" si="2">O6</f>
        <v>North</v>
      </c>
      <c r="S6" s="7">
        <f t="shared" ref="S6:S8" si="3">GETPIVOTDATA("Sales",$O$4,"Region",R6)</f>
        <v>2488773</v>
      </c>
      <c r="U6" s="4" t="s">
        <v>20</v>
      </c>
      <c r="V6" s="5">
        <v>202028.16999999993</v>
      </c>
      <c r="X6" s="4" t="s">
        <v>38</v>
      </c>
      <c r="Y6" s="5">
        <v>702414</v>
      </c>
    </row>
    <row r="7" spans="1:25" x14ac:dyDescent="0.25">
      <c r="A7" t="s">
        <v>25</v>
      </c>
      <c r="C7" s="4" t="s">
        <v>32</v>
      </c>
      <c r="D7" s="6">
        <v>261626.94000000015</v>
      </c>
      <c r="E7" s="6">
        <v>331270.15000000002</v>
      </c>
      <c r="F7" s="6">
        <v>73969.33</v>
      </c>
      <c r="G7" s="6">
        <v>666866.42000000016</v>
      </c>
      <c r="I7" s="4" t="s">
        <v>8</v>
      </c>
      <c r="J7" s="6">
        <v>1094216</v>
      </c>
      <c r="L7" t="str">
        <f t="shared" si="0"/>
        <v>Office</v>
      </c>
      <c r="M7" s="8">
        <f t="shared" si="1"/>
        <v>1094216</v>
      </c>
      <c r="O7" s="4" t="s">
        <v>15</v>
      </c>
      <c r="P7" s="6">
        <v>2659548</v>
      </c>
      <c r="R7" t="str">
        <f t="shared" si="2"/>
        <v>South</v>
      </c>
      <c r="S7" s="7">
        <f t="shared" si="3"/>
        <v>2659548</v>
      </c>
      <c r="U7" s="4" t="s">
        <v>10</v>
      </c>
      <c r="V7" s="5">
        <v>185763.68999999992</v>
      </c>
      <c r="X7" s="4" t="s">
        <v>39</v>
      </c>
      <c r="Y7" s="5">
        <v>939614</v>
      </c>
    </row>
    <row r="8" spans="1:25" x14ac:dyDescent="0.25">
      <c r="A8" s="6">
        <v>1844665.2099999993</v>
      </c>
      <c r="C8" s="4" t="s">
        <v>33</v>
      </c>
      <c r="D8" s="6">
        <v>236270.21999999988</v>
      </c>
      <c r="E8" s="6">
        <v>305679.14</v>
      </c>
      <c r="F8" s="6">
        <v>62992.450000000012</v>
      </c>
      <c r="G8" s="6">
        <v>604941.80999999982</v>
      </c>
      <c r="I8" s="4" t="s">
        <v>30</v>
      </c>
      <c r="J8" s="6">
        <v>10667881</v>
      </c>
      <c r="O8" s="4" t="s">
        <v>16</v>
      </c>
      <c r="P8" s="6">
        <v>2844450</v>
      </c>
      <c r="R8" t="str">
        <f t="shared" si="2"/>
        <v>West</v>
      </c>
      <c r="S8" s="7">
        <f t="shared" si="3"/>
        <v>2844450</v>
      </c>
      <c r="U8" s="4" t="s">
        <v>23</v>
      </c>
      <c r="V8" s="5">
        <v>185756.81000000014</v>
      </c>
      <c r="X8" s="4" t="s">
        <v>40</v>
      </c>
      <c r="Y8" s="5">
        <v>821876</v>
      </c>
    </row>
    <row r="9" spans="1:25" x14ac:dyDescent="0.25">
      <c r="C9" s="4" t="s">
        <v>30</v>
      </c>
      <c r="D9" s="6">
        <v>736084.74</v>
      </c>
      <c r="E9" s="6">
        <v>923185.59</v>
      </c>
      <c r="F9" s="6">
        <v>185394.88</v>
      </c>
      <c r="G9" s="6">
        <v>1844665.2099999997</v>
      </c>
      <c r="O9" s="4" t="s">
        <v>30</v>
      </c>
      <c r="P9" s="6">
        <v>10667881</v>
      </c>
      <c r="U9" s="4" t="s">
        <v>7</v>
      </c>
      <c r="V9" s="5">
        <v>185394.88</v>
      </c>
      <c r="X9" s="4" t="s">
        <v>41</v>
      </c>
      <c r="Y9" s="5">
        <v>1034687</v>
      </c>
    </row>
    <row r="10" spans="1:25" x14ac:dyDescent="0.25">
      <c r="U10" s="4" t="s">
        <v>30</v>
      </c>
      <c r="V10" s="5">
        <v>966574.53999999992</v>
      </c>
      <c r="X10" s="4" t="s">
        <v>42</v>
      </c>
      <c r="Y10" s="5">
        <v>839805</v>
      </c>
    </row>
    <row r="11" spans="1:25" x14ac:dyDescent="0.25">
      <c r="A11" s="5">
        <f>GETPIVOTDATA("Sales",$A$3)</f>
        <v>10667881</v>
      </c>
      <c r="X11" s="4" t="s">
        <v>43</v>
      </c>
      <c r="Y11" s="5">
        <v>844940</v>
      </c>
    </row>
    <row r="12" spans="1:25" x14ac:dyDescent="0.25">
      <c r="A12" s="8">
        <f>GETPIVOTDATA("Profit",$A$7)</f>
        <v>1844665.2099999993</v>
      </c>
      <c r="X12" s="4" t="s">
        <v>44</v>
      </c>
      <c r="Y12" s="5">
        <v>924939</v>
      </c>
    </row>
    <row r="13" spans="1:25" x14ac:dyDescent="0.25">
      <c r="X13" s="4" t="s">
        <v>45</v>
      </c>
      <c r="Y13" s="5">
        <v>885546</v>
      </c>
    </row>
    <row r="14" spans="1:25" x14ac:dyDescent="0.25">
      <c r="X14" s="4" t="s">
        <v>46</v>
      </c>
      <c r="Y14" s="5">
        <v>892269</v>
      </c>
    </row>
    <row r="15" spans="1:25" x14ac:dyDescent="0.25">
      <c r="X15" s="4" t="s">
        <v>47</v>
      </c>
      <c r="Y15" s="5">
        <v>855075</v>
      </c>
    </row>
    <row r="16" spans="1:25" x14ac:dyDescent="0.25">
      <c r="X16" s="4" t="s">
        <v>48</v>
      </c>
      <c r="Y16" s="5">
        <v>959102</v>
      </c>
    </row>
    <row r="17" spans="24:25" x14ac:dyDescent="0.25">
      <c r="X17" s="4" t="s">
        <v>30</v>
      </c>
      <c r="Y17" s="5">
        <v>10667881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583E-CAE5-44A5-A6E4-B83ABF7EF293}">
  <dimension ref="U14"/>
  <sheetViews>
    <sheetView showGridLines="0" tabSelected="1" zoomScale="84" zoomScaleNormal="84" workbookViewId="0">
      <selection activeCell="T10" sqref="T10"/>
    </sheetView>
  </sheetViews>
  <sheetFormatPr defaultRowHeight="15" x14ac:dyDescent="0.25"/>
  <sheetData>
    <row r="14" spans="21:21" x14ac:dyDescent="0.25">
      <c r="U14" t="s">
        <v>51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 table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computer</cp:lastModifiedBy>
  <dcterms:created xsi:type="dcterms:W3CDTF">2026-03-01T19:40:25Z</dcterms:created>
  <dcterms:modified xsi:type="dcterms:W3CDTF">2026-03-02T10:02:25Z</dcterms:modified>
</cp:coreProperties>
</file>